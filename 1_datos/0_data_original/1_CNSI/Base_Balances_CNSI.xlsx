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gonzalez/Desktop/Tesis/Tesis - Material Curso Canvas/E3 Tesis Borrador/0_data_original/1_CNSI/"/>
    </mc:Choice>
  </mc:AlternateContent>
  <xr:revisionPtr revIDLastSave="0" documentId="13_ncr:1_{9FE0B38F-123A-834F-A0AD-94D9EC3038A0}" xr6:coauthVersionLast="47" xr6:coauthVersionMax="47" xr10:uidLastSave="{00000000-0000-0000-0000-000000000000}"/>
  <bookViews>
    <workbookView xWindow="7580" yWindow="740" windowWidth="28800" windowHeight="15960" xr2:uid="{FE592B69-FD68-5545-AF97-590CE906C0B0}"/>
  </bookViews>
  <sheets>
    <sheet name="Bancos" sheetId="1" r:id="rId1"/>
    <sheet name="FP" sheetId="2" r:id="rId2"/>
    <sheet name="Seguros" sheetId="6" r:id="rId3"/>
    <sheet name="FMM" sheetId="4" r:id="rId4"/>
    <sheet name="FNM" sheetId="5" r:id="rId5"/>
    <sheet name="Otros" sheetId="3" r:id="rId6"/>
    <sheet name="BC" sheetId="7" r:id="rId7"/>
    <sheet name="Gobierno_General" sheetId="8" r:id="rId8"/>
    <sheet name="Empresas_No_Financieras" sheetId="9" r:id="rId9"/>
    <sheet name="Hogares" sheetId="10" r:id="rId10"/>
    <sheet name="Resto_Mundo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2"/>
  <c r="D2" i="7"/>
  <c r="D2" i="11"/>
  <c r="D2" i="8"/>
  <c r="D2" i="1"/>
  <c r="D2" i="10"/>
  <c r="H2" i="11"/>
  <c r="G2" i="11"/>
  <c r="G2" i="10"/>
  <c r="H2" i="10"/>
  <c r="H2" i="9"/>
  <c r="G2" i="9"/>
  <c r="H2" i="8"/>
  <c r="G2" i="8"/>
  <c r="H2" i="7"/>
  <c r="G2" i="7"/>
  <c r="H2" i="5"/>
  <c r="G2" i="5"/>
  <c r="H2" i="4"/>
  <c r="G2" i="4"/>
  <c r="H2" i="6"/>
  <c r="G2" i="6"/>
  <c r="G2" i="2"/>
  <c r="H2" i="1"/>
  <c r="G2" i="1"/>
  <c r="E2" i="11"/>
  <c r="E2" i="10"/>
  <c r="E2" i="9"/>
  <c r="D2" i="9"/>
  <c r="E2" i="8"/>
  <c r="E2" i="7"/>
  <c r="C2" i="3"/>
  <c r="D2" i="3"/>
  <c r="E2" i="5"/>
  <c r="D2" i="5"/>
  <c r="E2" i="4"/>
  <c r="D2" i="4"/>
  <c r="E2" i="6"/>
  <c r="D2" i="6"/>
  <c r="E2" i="2"/>
</calcChain>
</file>

<file path=xl/sharedStrings.xml><?xml version="1.0" encoding="utf-8"?>
<sst xmlns="http://schemas.openxmlformats.org/spreadsheetml/2006/main" count="672" uniqueCount="165">
  <si>
    <t>Balance financiero de bancos y cooperativas, referencia 2018 (miles de millones de pesos)</t>
  </si>
  <si>
    <t/>
  </si>
  <si>
    <t>Periodo</t>
  </si>
  <si>
    <t>1. I. Activos Financieros</t>
  </si>
  <si>
    <t>1.1. Efectivo y depósitos activos</t>
  </si>
  <si>
    <t>1.1.1. Efectivo y depósitos vista activos</t>
  </si>
  <si>
    <t>1.1.2. Otros depósitos activos</t>
  </si>
  <si>
    <t>1.2. Títulos activos</t>
  </si>
  <si>
    <t>1.2.1. Títulos de deuda a corto plazo activos</t>
  </si>
  <si>
    <t>1.2.2. Títulos de deuda a largo plazo activos</t>
  </si>
  <si>
    <t>1.3. Derivados financieros activos</t>
  </si>
  <si>
    <t>1.4. Préstamos activos</t>
  </si>
  <si>
    <t>1.4.1. Préstamos a corto plazo activos</t>
  </si>
  <si>
    <t>1.4.2. Préstamos a largo plazo activos</t>
  </si>
  <si>
    <t>1.5. Acciones y otras participaciones activos</t>
  </si>
  <si>
    <t>1.5.1. Acciones activos</t>
  </si>
  <si>
    <t>1.5.2. Cuotas emitidas por fondos del mercado monetario activos</t>
  </si>
  <si>
    <t>1.5.3. Cuotas emitidas por fondos del mercado no monetario activos</t>
  </si>
  <si>
    <t>1.6. Reservas técnicas de seguros activos</t>
  </si>
  <si>
    <t>1.6.1. Reservas para primas y para siniestros activos</t>
  </si>
  <si>
    <t>1.7. Otras cuentas activos</t>
  </si>
  <si>
    <t>2. II. Activos Financieros netos (I-III)</t>
  </si>
  <si>
    <t>3. III. Pasivos</t>
  </si>
  <si>
    <t>3.1. Efectivo y depósitos pasivos</t>
  </si>
  <si>
    <t>3.1.1. Efectivo y depósitos vista pasivos</t>
  </si>
  <si>
    <t>3.1.2. Otros depósitos pasivos</t>
  </si>
  <si>
    <t>3.2. Títulos de deuda pasivos</t>
  </si>
  <si>
    <t>3.2.1. Títulos de deuda a corto plazo pasivos</t>
  </si>
  <si>
    <t>3.2.2. Títulos de deuda a largo plazo pasivos</t>
  </si>
  <si>
    <t>3.3. Préstamos pasivos</t>
  </si>
  <si>
    <t>3.3.1. Préstamos a corto plazo pasivos</t>
  </si>
  <si>
    <t>3.3.2. Préstamos a largo plazo pasivos</t>
  </si>
  <si>
    <t>3.4. Acciones y otras participaciones pasivos</t>
  </si>
  <si>
    <t>3.4.1. Acciones cotizadas pasivos</t>
  </si>
  <si>
    <t>3.4.2. Acciones no cotizadas y otras participaciones pasivos</t>
  </si>
  <si>
    <t>3.5. Otras cuentas pasivos</t>
  </si>
  <si>
    <t>Balance financiero de los fondos de pensiones, referencia 2018 (miles de millones de pesos)</t>
  </si>
  <si>
    <t>1.2. Títulos de deuda activos</t>
  </si>
  <si>
    <t>1.5.4. Otras cuentas activos</t>
  </si>
  <si>
    <t>2. II. Activos Financieros Netos (I-III)</t>
  </si>
  <si>
    <t>3.1. Fondos de pensiones pasivos</t>
  </si>
  <si>
    <t>3.2. Otras cuentas pasivos</t>
  </si>
  <si>
    <t>4. Memorandum inversión por instrumento y destino</t>
  </si>
  <si>
    <t>4.1. Acciones y otras participaciones emitidas en el exterior</t>
  </si>
  <si>
    <t>4.2. Depósitos, títulos y préstamos emitidos en el exterior</t>
  </si>
  <si>
    <t>4.3. Acciones y otras participaciones emitidas en Chile</t>
  </si>
  <si>
    <t>4.4. Depósitos, títulos y préstamos emitidos en Chile</t>
  </si>
  <si>
    <t>Balance financiero de otros intermediarios financieros, referencia 2018 (miles de millones de pesos)</t>
  </si>
  <si>
    <t>1.6. Reservas de fondos de pensiones, activos</t>
  </si>
  <si>
    <t>3.1.1. Otros depósitos pasivos</t>
  </si>
  <si>
    <t>3.2. Títulos pasivos</t>
  </si>
  <si>
    <t>3.2.1. Títulos a corto plazo pasivos</t>
  </si>
  <si>
    <t>3.2.2. Títulos a largo plazo pasivos</t>
  </si>
  <si>
    <t>3.4.1. Acciones pasivos</t>
  </si>
  <si>
    <t>3.4.2. Cuotas emitidas por fondos del mercado monetario pasivos</t>
  </si>
  <si>
    <t>3.4.3. Cuotas emitidas por fondos del mercado no monetario pasivos</t>
  </si>
  <si>
    <t>Balance financiero de fondos del mercado monetario, referencia 2018 (miles de millones de pesos)</t>
  </si>
  <si>
    <t>1. I. Activos financieros</t>
  </si>
  <si>
    <t>1.1. Efectivo y depósitos</t>
  </si>
  <si>
    <t>1.1.1. Efectivo y depósitos vista</t>
  </si>
  <si>
    <t>1.1.2. Otros depósitos</t>
  </si>
  <si>
    <t>1.3. Acciones y otras participaciones activos</t>
  </si>
  <si>
    <t>1.3.1. Acciones activos</t>
  </si>
  <si>
    <t>1.3.2. Cuotas emitidas por fondos del mercado monetario activos</t>
  </si>
  <si>
    <t>1.3.3. Cuotas emitidas por fondos del mercado no monetario activos</t>
  </si>
  <si>
    <t>1.4. Otras cuentas</t>
  </si>
  <si>
    <t>3.1. Acciones y otras participaciones pasivos</t>
  </si>
  <si>
    <t>3.1.1. Cuotas emitidas por fondos del mercado monetario pasivos</t>
  </si>
  <si>
    <t>3.2. Otras cuentas</t>
  </si>
  <si>
    <t>Balance financiero de fondos del mercado no monetario, referencia 2018 (miles de millones de pesos)</t>
  </si>
  <si>
    <t>3.1. Títulos de deuda pasivos</t>
  </si>
  <si>
    <t>3.1.1. Títulos de deuda a largo plazo pasivos</t>
  </si>
  <si>
    <t>3.2. Préstamos pasivos</t>
  </si>
  <si>
    <t>3.2.1. Préstamos a corto plazo pasivos</t>
  </si>
  <si>
    <t>3.2.2. Préstamos a largo plazo pasivos</t>
  </si>
  <si>
    <t>3.3. Acciones y otras participaciones pasivos</t>
  </si>
  <si>
    <t>3.3.1. Cuotas emitidas por fondos del mercado no monetario pasivos</t>
  </si>
  <si>
    <t>3.3.2. Otras cuentas pasivos</t>
  </si>
  <si>
    <t>Balance financiero de las compañías de seguros, referencia 2018 (miles de millones de pesos)</t>
  </si>
  <si>
    <t>2. Derivados financieros activos</t>
  </si>
  <si>
    <t>2.1. Préstamos activos</t>
  </si>
  <si>
    <t>2.1.1. Préstamos a largo plazo activos</t>
  </si>
  <si>
    <t>2.2. Acciones y otras participaciones activos</t>
  </si>
  <si>
    <t>2.2.1. Acciones activos</t>
  </si>
  <si>
    <t>2.2.2. Cuotas emitidas por fondos del mercado monetario activos</t>
  </si>
  <si>
    <t>2.2.3. Cuotas emitidas por fondos del mercado no monetario activos</t>
  </si>
  <si>
    <t>2.3. Otras cuentas activos</t>
  </si>
  <si>
    <t>3. II. Activos Financieros Netos (I-III)</t>
  </si>
  <si>
    <t>4. III. Pasivos</t>
  </si>
  <si>
    <t>4.1. Préstamos pasivos</t>
  </si>
  <si>
    <t>4.1.1. Préstamos a corto plazo pasivos</t>
  </si>
  <si>
    <t>4.1.2. Préstamos a largo plazo pasivos</t>
  </si>
  <si>
    <t>4.2. Acciones y otras participaciones pasivos</t>
  </si>
  <si>
    <t>4.2.1. Acciones pasivos</t>
  </si>
  <si>
    <t>4.3. Reservas técnicas de seguros pasivos</t>
  </si>
  <si>
    <t>4.3.1. Reservas técnicas para rentas vitalicias y seguros de vida pasivos</t>
  </si>
  <si>
    <t>4.3.2. Reservas para primas y para siniestros, pasivos</t>
  </si>
  <si>
    <t>4.4. Otras cuentas pasivos</t>
  </si>
  <si>
    <t>Balance financiero del Banco Central, referencia 2018 (miles de millones de pesos)</t>
  </si>
  <si>
    <t>1.1. Oro monetario y DEG activos</t>
  </si>
  <si>
    <t>1.2. Efectivo y depósitos activos</t>
  </si>
  <si>
    <t>1.2.1. Efectivo y depósitos vista activos</t>
  </si>
  <si>
    <t>1.2.2. Otros depósitos activos</t>
  </si>
  <si>
    <t>1.3. Títulos activos</t>
  </si>
  <si>
    <t>1.3.1. Títulos de deuda a largo plazo activos</t>
  </si>
  <si>
    <t>1.4. Derivados financieros activos</t>
  </si>
  <si>
    <t>1.5. Préstamos activos</t>
  </si>
  <si>
    <t>1.5.1. Préstamos a corto plazo activos</t>
  </si>
  <si>
    <t>1.5.2. Préstamos a largo plazo activos</t>
  </si>
  <si>
    <t>1.6. Acciones y otras participaciones activos</t>
  </si>
  <si>
    <t>1.6.1. Acciones activos</t>
  </si>
  <si>
    <t>Balance financiero del gobierno general, referencia 2018 (miles de millones de pesos)</t>
  </si>
  <si>
    <t>1.3. Préstamos activos</t>
  </si>
  <si>
    <t>1.3.1. Préstamos a corto plazo activos</t>
  </si>
  <si>
    <t>1.3.2. Préstamos a largo plazo activos</t>
  </si>
  <si>
    <t>1.4. Acciones y otras participaciones activos</t>
  </si>
  <si>
    <t>1.4.1. Acciones activos</t>
  </si>
  <si>
    <t>1.4.2. Cuotas emitidas por fondos del mercado monetario activos</t>
  </si>
  <si>
    <t>1.4.3. Cuotas emitidas por fondos del mercado no monetario activos</t>
  </si>
  <si>
    <t>1.5. Reservas técnicas de seguros activos</t>
  </si>
  <si>
    <t>1.5.1. Reservas para primas y para siniestros activos</t>
  </si>
  <si>
    <t>1.6. Otras cuentas activos</t>
  </si>
  <si>
    <t>3.4. Otras cuentas pasivos</t>
  </si>
  <si>
    <t>4. Memorando: Valor de mercado de fondos soberanos</t>
  </si>
  <si>
    <t>4.1. Fondo de estabilización económica y social, FEES</t>
  </si>
  <si>
    <t>4.2. Fondo de reserva de pensiones, FRP</t>
  </si>
  <si>
    <t>5. Memorando: Saldo operaciones financieras de fondos soberanos</t>
  </si>
  <si>
    <t>5.1. Fondo de estabilización económica y social, FEES</t>
  </si>
  <si>
    <t>5.2. Fondo de reserva de pensiones, FRP</t>
  </si>
  <si>
    <t>Balances financieros de las empresas no financieras, referencia 2018 (miles de millones de pesos)</t>
  </si>
  <si>
    <t>1.4.1. Préstamos  a corto plazo activos</t>
  </si>
  <si>
    <t>3.1. Títulos pasivos</t>
  </si>
  <si>
    <t>3.1.1. Títulos a corto plazo pasivos</t>
  </si>
  <si>
    <t>3.1.2. Títulos a largo plazo pasivos</t>
  </si>
  <si>
    <t>3.3.1. Acciones cotizadas</t>
  </si>
  <si>
    <t>3.3.2. Acciones no cotizadas y otras participaciones</t>
  </si>
  <si>
    <t>3.4.1. Con el Exterior</t>
  </si>
  <si>
    <t>3.4.2. Con Factoring y securitizadoras</t>
  </si>
  <si>
    <t>Balance financiero de los hogares e instituciones sin fines de lucro, referencia 2018 (miles de millones de pesos)</t>
  </si>
  <si>
    <t>1.4. Fondos de pensiones activos</t>
  </si>
  <si>
    <t>1.5.1. Derechos sobre las reservas de seguros de vida, activos</t>
  </si>
  <si>
    <t>1.5.2. Reservas para primas y para siniestros activos</t>
  </si>
  <si>
    <t>3.1. Préstamos pasivos</t>
  </si>
  <si>
    <t>3.1.1. Préstamos a corto plazo pasivos</t>
  </si>
  <si>
    <t>3.1.2. Préstamos a largo plazo pasivos</t>
  </si>
  <si>
    <t>Balance financiero del resto del mundo, referencia 2018 (miles de millones de pesos)</t>
  </si>
  <si>
    <t>3.1. Oro monetario y DEG pasivos</t>
  </si>
  <si>
    <t>3.2. Efectivo y depósitos pasivos</t>
  </si>
  <si>
    <t>3.2.1. Efectivo y depósitos vista pasivos</t>
  </si>
  <si>
    <t>3.2.2. Otros depósitos pasivos</t>
  </si>
  <si>
    <t>3.3. Títulos pasivos</t>
  </si>
  <si>
    <t>3.3.1. Títulos a corto plazo pasivos</t>
  </si>
  <si>
    <t>3.3.2. Títulos a largo plazo pasivos</t>
  </si>
  <si>
    <t>3.4. Préstamos pasivos</t>
  </si>
  <si>
    <t>3.4.1. Préstamos a corto plazo pasivos</t>
  </si>
  <si>
    <t>3.4.2. Préstamos a largo plazo pasivos</t>
  </si>
  <si>
    <t>3.5. Acciones y otras participaciones pasivos</t>
  </si>
  <si>
    <t>3.5.1. Acciones pasivos</t>
  </si>
  <si>
    <t>3.5.2. Cuotas emitidas por fondos del mercado monetario pasivos</t>
  </si>
  <si>
    <t>3.5.3. Cuotas emitidas por fondos del mercado no monetario pasivos</t>
  </si>
  <si>
    <t>3.6. Otras cuentas pasivos</t>
  </si>
  <si>
    <t>Matriz exp contabiliza:</t>
  </si>
  <si>
    <t>Act -&gt;</t>
  </si>
  <si>
    <t>Pas -&gt;</t>
  </si>
  <si>
    <t xml:space="preserve">Pas 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</si>
</sst>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yy"/>
  </numFmts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F3CB-BE02-C74A-906A-E2E680F72898}">
  <sheetPr>
    <tabColor rgb="FFC00000"/>
  </sheetPr>
  <dimension ref="A1:AH95"/>
  <sheetViews>
    <sheetView tabSelected="1" workbookViewId="0">
      <selection activeCell="J3" sqref="J3"/>
    </sheetView>
  </sheetViews>
  <sheetFormatPr baseColWidth="10" defaultRowHeight="16" x14ac:dyDescent="0.2"/>
  <sheetData>
    <row r="1" spans="1:34" x14ac:dyDescent="0.2">
      <c r="A1" s="7" t="s">
        <v>0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  <c r="AH1" s="7" t="s">
        <v>1</v>
      </c>
    </row>
    <row r="2" spans="1:34" x14ac:dyDescent="0.2">
      <c r="A2" s="8" t="s">
        <v>161</v>
      </c>
      <c r="B2" s="8"/>
      <c r="C2" t="s">
        <v>162</v>
      </c>
      <c r="D2" s="1">
        <f>B5-I5-N5-Q5-S5</f>
        <v>40409.858199999995</v>
      </c>
      <c r="E2" s="1">
        <f>C5+F5+J5+O5</f>
        <v>40409.858200000002</v>
      </c>
      <c r="F2" t="s">
        <v>163</v>
      </c>
      <c r="G2" s="1">
        <f>U5-AF5-AG5-AH5</f>
        <v>36209.309000000001</v>
      </c>
      <c r="H2" s="1">
        <f>V5+Y5+AB5</f>
        <v>36209.308999999994</v>
      </c>
    </row>
    <row r="3" spans="1:34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</row>
    <row r="4" spans="1:34" x14ac:dyDescent="0.2">
      <c r="A4" s="3">
        <v>37591</v>
      </c>
      <c r="B4" s="4">
        <v>40930.731</v>
      </c>
      <c r="C4" s="4">
        <v>2194.7856999999999</v>
      </c>
      <c r="D4" s="4">
        <v>1582.1755000000001</v>
      </c>
      <c r="E4" s="4">
        <v>612.61019999999996</v>
      </c>
      <c r="F4" s="5">
        <v>6631.6549999999997</v>
      </c>
      <c r="G4" s="4">
        <v>2088.1268</v>
      </c>
      <c r="H4" s="4">
        <v>4543.5281999999997</v>
      </c>
      <c r="I4" s="4">
        <v>-44.671999999999997</v>
      </c>
      <c r="J4" s="5">
        <v>30377.331099999999</v>
      </c>
      <c r="K4" s="4">
        <v>5758.5236000000004</v>
      </c>
      <c r="L4" s="4">
        <v>24618.807499999999</v>
      </c>
      <c r="M4" s="4">
        <v>449.95310000000001</v>
      </c>
      <c r="N4" s="4">
        <v>388.26459999999997</v>
      </c>
      <c r="O4" s="4">
        <v>61.688499999999998</v>
      </c>
      <c r="P4" s="4">
        <v>0</v>
      </c>
      <c r="Q4" s="4">
        <v>36.450000000000003</v>
      </c>
      <c r="R4" s="4">
        <v>36.450000000000003</v>
      </c>
      <c r="S4" s="4">
        <v>1285.2282</v>
      </c>
      <c r="T4" s="4">
        <v>-2086.1233000000002</v>
      </c>
      <c r="U4" s="4">
        <v>43016.854299999999</v>
      </c>
      <c r="V4" s="4">
        <v>25308.836500000001</v>
      </c>
      <c r="W4" s="4">
        <v>4020.2999</v>
      </c>
      <c r="X4" s="4">
        <v>21288.536599999999</v>
      </c>
      <c r="Y4" s="4">
        <v>7187.0131000000001</v>
      </c>
      <c r="Z4" s="4">
        <v>0</v>
      </c>
      <c r="AA4" s="4">
        <v>7187.0131000000001</v>
      </c>
      <c r="AB4" s="4">
        <v>3153.1743999999999</v>
      </c>
      <c r="AC4" s="4">
        <v>1490.4889000000001</v>
      </c>
      <c r="AD4" s="4">
        <v>1662.6855</v>
      </c>
      <c r="AE4" s="4">
        <v>6558.9447</v>
      </c>
      <c r="AF4" s="4">
        <v>5131.5320000000002</v>
      </c>
      <c r="AG4" s="4">
        <v>1427.4127000000001</v>
      </c>
      <c r="AH4" s="4">
        <v>808.88570000000004</v>
      </c>
    </row>
    <row r="5" spans="1:34" x14ac:dyDescent="0.2">
      <c r="A5" s="3">
        <v>37681</v>
      </c>
      <c r="B5" s="4">
        <v>42004.977099999996</v>
      </c>
      <c r="C5" s="4">
        <v>2521.4546</v>
      </c>
      <c r="D5" s="4">
        <v>1448.7512999999999</v>
      </c>
      <c r="E5" s="4">
        <v>1072.7032999999999</v>
      </c>
      <c r="F5" s="5">
        <v>7025.5918000000001</v>
      </c>
      <c r="G5" s="4">
        <v>2125.9647</v>
      </c>
      <c r="H5" s="4">
        <v>4899.6270999999997</v>
      </c>
      <c r="I5" s="4">
        <v>-5.5553999999999997</v>
      </c>
      <c r="J5" s="5">
        <v>30841.608400000001</v>
      </c>
      <c r="K5" s="4">
        <v>5930.0573000000004</v>
      </c>
      <c r="L5" s="4">
        <v>24911.550999999999</v>
      </c>
      <c r="M5" s="4">
        <v>427.82839999999999</v>
      </c>
      <c r="N5" s="4">
        <v>406.62490000000003</v>
      </c>
      <c r="O5" s="4">
        <v>21.203399999999998</v>
      </c>
      <c r="P5" s="4">
        <v>0</v>
      </c>
      <c r="Q5" s="4">
        <v>35.738599999999998</v>
      </c>
      <c r="R5" s="4">
        <v>35.738599999999998</v>
      </c>
      <c r="S5" s="4">
        <v>1158.3108</v>
      </c>
      <c r="T5" s="4">
        <v>-2305.9796000000001</v>
      </c>
      <c r="U5" s="4">
        <v>44310.956700000002</v>
      </c>
      <c r="V5" s="4">
        <v>25776.175899999998</v>
      </c>
      <c r="W5" s="4">
        <v>4405.9165000000003</v>
      </c>
      <c r="X5" s="4">
        <v>21370.259399999999</v>
      </c>
      <c r="Y5" s="4">
        <v>7181.0016999999998</v>
      </c>
      <c r="Z5" s="4">
        <v>0</v>
      </c>
      <c r="AA5" s="4">
        <v>7181.0016999999998</v>
      </c>
      <c r="AB5" s="4">
        <v>3252.1314000000002</v>
      </c>
      <c r="AC5" s="4">
        <v>1521.5136</v>
      </c>
      <c r="AD5" s="4">
        <v>1730.6178</v>
      </c>
      <c r="AE5" s="4">
        <v>6905.1468000000004</v>
      </c>
      <c r="AF5" s="4">
        <v>5308.3167999999996</v>
      </c>
      <c r="AG5" s="4">
        <v>1596.83</v>
      </c>
      <c r="AH5" s="4">
        <v>1196.5009</v>
      </c>
    </row>
    <row r="6" spans="1:34" x14ac:dyDescent="0.2">
      <c r="A6" s="3">
        <v>37773</v>
      </c>
      <c r="B6" s="4">
        <v>41988.800600000002</v>
      </c>
      <c r="C6" s="4">
        <v>2134.1001000000001</v>
      </c>
      <c r="D6" s="4">
        <v>1255.3761999999999</v>
      </c>
      <c r="E6" s="4">
        <v>878.72389999999996</v>
      </c>
      <c r="F6" s="5">
        <v>6970.3244000000004</v>
      </c>
      <c r="G6" s="4">
        <v>2173.7755999999999</v>
      </c>
      <c r="H6" s="4">
        <v>4796.5487999999996</v>
      </c>
      <c r="I6" s="4">
        <v>39.660499999999999</v>
      </c>
      <c r="J6" s="5">
        <v>31116.430199999999</v>
      </c>
      <c r="K6" s="4">
        <v>5731.2347</v>
      </c>
      <c r="L6" s="4">
        <v>25385.195500000002</v>
      </c>
      <c r="M6" s="4">
        <v>464.63869999999997</v>
      </c>
      <c r="N6" s="4">
        <v>422.27640000000002</v>
      </c>
      <c r="O6" s="4">
        <v>42.362400000000001</v>
      </c>
      <c r="P6" s="4">
        <v>0</v>
      </c>
      <c r="Q6" s="4">
        <v>37.793100000000003</v>
      </c>
      <c r="R6" s="4">
        <v>37.793100000000003</v>
      </c>
      <c r="S6" s="4">
        <v>1225.8535999999999</v>
      </c>
      <c r="T6" s="4">
        <v>-2917.9297000000001</v>
      </c>
      <c r="U6" s="4">
        <v>44906.730300000003</v>
      </c>
      <c r="V6" s="4">
        <v>25435.286700000001</v>
      </c>
      <c r="W6" s="4">
        <v>4360.9187000000002</v>
      </c>
      <c r="X6" s="4">
        <v>21074.367999999999</v>
      </c>
      <c r="Y6" s="4">
        <v>7355.5528000000004</v>
      </c>
      <c r="Z6" s="4">
        <v>0</v>
      </c>
      <c r="AA6" s="4">
        <v>7355.5528000000004</v>
      </c>
      <c r="AB6" s="4">
        <v>3212.1813000000002</v>
      </c>
      <c r="AC6" s="4">
        <v>1478.9666</v>
      </c>
      <c r="AD6" s="4">
        <v>1733.2147</v>
      </c>
      <c r="AE6" s="4">
        <v>7411.1142</v>
      </c>
      <c r="AF6" s="4">
        <v>5871.1180000000004</v>
      </c>
      <c r="AG6" s="4">
        <v>1539.9962</v>
      </c>
      <c r="AH6" s="4">
        <v>1492.5952</v>
      </c>
    </row>
    <row r="7" spans="1:34" x14ac:dyDescent="0.2">
      <c r="A7" s="3">
        <v>37865</v>
      </c>
      <c r="B7" s="4">
        <v>42002.476799999997</v>
      </c>
      <c r="C7" s="4">
        <v>2148.0209</v>
      </c>
      <c r="D7" s="4">
        <v>1259.6421</v>
      </c>
      <c r="E7" s="4">
        <v>888.37890000000004</v>
      </c>
      <c r="F7" s="5">
        <v>6833.0940000000001</v>
      </c>
      <c r="G7" s="4">
        <v>1889.3492000000001</v>
      </c>
      <c r="H7" s="4">
        <v>4943.7447000000002</v>
      </c>
      <c r="I7" s="4">
        <v>55.6614</v>
      </c>
      <c r="J7" s="5">
        <v>31288.347099999999</v>
      </c>
      <c r="K7" s="4">
        <v>5597.6419999999998</v>
      </c>
      <c r="L7" s="4">
        <v>25690.705099999999</v>
      </c>
      <c r="M7" s="4">
        <v>513.20320000000004</v>
      </c>
      <c r="N7" s="4">
        <v>444.58670000000001</v>
      </c>
      <c r="O7" s="4">
        <v>68.616500000000002</v>
      </c>
      <c r="P7" s="4">
        <v>0</v>
      </c>
      <c r="Q7" s="4">
        <v>37.5747</v>
      </c>
      <c r="R7" s="4">
        <v>37.5747</v>
      </c>
      <c r="S7" s="4">
        <v>1126.5757000000001</v>
      </c>
      <c r="T7" s="4">
        <v>-3235.2519000000002</v>
      </c>
      <c r="U7" s="4">
        <v>45237.728799999997</v>
      </c>
      <c r="V7" s="4">
        <v>25192.451799999999</v>
      </c>
      <c r="W7" s="4">
        <v>4373.7082</v>
      </c>
      <c r="X7" s="4">
        <v>20818.743600000002</v>
      </c>
      <c r="Y7" s="4">
        <v>7194.2752</v>
      </c>
      <c r="Z7" s="4">
        <v>0</v>
      </c>
      <c r="AA7" s="4">
        <v>7194.2752</v>
      </c>
      <c r="AB7" s="4">
        <v>3364.5306999999998</v>
      </c>
      <c r="AC7" s="4">
        <v>1586.6164000000001</v>
      </c>
      <c r="AD7" s="4">
        <v>1777.9142999999999</v>
      </c>
      <c r="AE7" s="4">
        <v>8081.2098999999998</v>
      </c>
      <c r="AF7" s="4">
        <v>6540.8976000000002</v>
      </c>
      <c r="AG7" s="4">
        <v>1540.3123000000001</v>
      </c>
      <c r="AH7" s="4">
        <v>1405.2611999999999</v>
      </c>
    </row>
    <row r="8" spans="1:34" x14ac:dyDescent="0.2">
      <c r="A8" s="3">
        <v>37956</v>
      </c>
      <c r="B8" s="4">
        <v>42913.731</v>
      </c>
      <c r="C8" s="4">
        <v>3143.8051999999998</v>
      </c>
      <c r="D8" s="4">
        <v>1901.575</v>
      </c>
      <c r="E8" s="4">
        <v>1242.2302</v>
      </c>
      <c r="F8" s="5">
        <v>6407.7734</v>
      </c>
      <c r="G8" s="4">
        <v>1492.1270999999999</v>
      </c>
      <c r="H8" s="4">
        <v>4915.6463000000003</v>
      </c>
      <c r="I8" s="4">
        <v>-2.57</v>
      </c>
      <c r="J8" s="5">
        <v>31875.872899999998</v>
      </c>
      <c r="K8" s="4">
        <v>5656.7709000000004</v>
      </c>
      <c r="L8" s="4">
        <v>26219.101999999999</v>
      </c>
      <c r="M8" s="4">
        <v>547.96280000000002</v>
      </c>
      <c r="N8" s="4">
        <v>465.34359999999998</v>
      </c>
      <c r="O8" s="4">
        <v>82.619200000000006</v>
      </c>
      <c r="P8" s="4">
        <v>0</v>
      </c>
      <c r="Q8" s="4">
        <v>38.7684</v>
      </c>
      <c r="R8" s="4">
        <v>38.7684</v>
      </c>
      <c r="S8" s="4">
        <v>902.1182</v>
      </c>
      <c r="T8" s="4">
        <v>-3328.7031999999999</v>
      </c>
      <c r="U8" s="4">
        <v>46242.434200000003</v>
      </c>
      <c r="V8" s="4">
        <v>25645.599699999999</v>
      </c>
      <c r="W8" s="4">
        <v>5185.4594999999999</v>
      </c>
      <c r="X8" s="4">
        <v>20460.140100000001</v>
      </c>
      <c r="Y8" s="4">
        <v>7029.5958000000001</v>
      </c>
      <c r="Z8" s="4">
        <v>0</v>
      </c>
      <c r="AA8" s="4">
        <v>7029.5958000000001</v>
      </c>
      <c r="AB8" s="4">
        <v>4330.1935000000003</v>
      </c>
      <c r="AC8" s="4">
        <v>2659.4677999999999</v>
      </c>
      <c r="AD8" s="4">
        <v>1670.7257</v>
      </c>
      <c r="AE8" s="4">
        <v>8296.3048999999992</v>
      </c>
      <c r="AF8" s="4">
        <v>6755.4017999999996</v>
      </c>
      <c r="AG8" s="4">
        <v>1540.9031</v>
      </c>
      <c r="AH8" s="4">
        <v>940.74040000000002</v>
      </c>
    </row>
    <row r="9" spans="1:34" x14ac:dyDescent="0.2">
      <c r="A9" s="3">
        <v>38047</v>
      </c>
      <c r="B9" s="4">
        <v>43633.648200000003</v>
      </c>
      <c r="C9" s="4">
        <v>2829.7312999999999</v>
      </c>
      <c r="D9" s="4">
        <v>1553.0433</v>
      </c>
      <c r="E9" s="4">
        <v>1276.6880000000001</v>
      </c>
      <c r="F9" s="5">
        <v>7081.9440999999997</v>
      </c>
      <c r="G9" s="4">
        <v>1949.7099000000001</v>
      </c>
      <c r="H9" s="4">
        <v>5132.2343000000001</v>
      </c>
      <c r="I9" s="4">
        <v>82.474699999999999</v>
      </c>
      <c r="J9" s="5">
        <v>32168.9267</v>
      </c>
      <c r="K9" s="4">
        <v>5095.8126000000002</v>
      </c>
      <c r="L9" s="4">
        <v>27073.114099999999</v>
      </c>
      <c r="M9" s="4">
        <v>624.44280000000003</v>
      </c>
      <c r="N9" s="4">
        <v>496.49650000000003</v>
      </c>
      <c r="O9" s="4">
        <v>127.94629999999999</v>
      </c>
      <c r="P9" s="4">
        <v>0</v>
      </c>
      <c r="Q9" s="4">
        <v>40.216099999999997</v>
      </c>
      <c r="R9" s="4">
        <v>40.216099999999997</v>
      </c>
      <c r="S9" s="4">
        <v>805.91250000000002</v>
      </c>
      <c r="T9" s="4">
        <v>-4416.3415000000005</v>
      </c>
      <c r="U9" s="4">
        <v>48049.989800000003</v>
      </c>
      <c r="V9" s="4">
        <v>26765.439399999999</v>
      </c>
      <c r="W9" s="4">
        <v>4969.5364</v>
      </c>
      <c r="X9" s="4">
        <v>21795.902999999998</v>
      </c>
      <c r="Y9" s="4">
        <v>7165.1301999999996</v>
      </c>
      <c r="Z9" s="4">
        <v>0</v>
      </c>
      <c r="AA9" s="4">
        <v>7165.1301999999996</v>
      </c>
      <c r="AB9" s="4">
        <v>3482.8647000000001</v>
      </c>
      <c r="AC9" s="4">
        <v>1742.5068000000001</v>
      </c>
      <c r="AD9" s="4">
        <v>1740.3579</v>
      </c>
      <c r="AE9" s="4">
        <v>9108.6260000000002</v>
      </c>
      <c r="AF9" s="4">
        <v>7463.9966999999997</v>
      </c>
      <c r="AG9" s="4">
        <v>1644.6293000000001</v>
      </c>
      <c r="AH9" s="4">
        <v>1527.9295</v>
      </c>
    </row>
    <row r="10" spans="1:34" x14ac:dyDescent="0.2">
      <c r="A10" s="3">
        <v>38139</v>
      </c>
      <c r="B10" s="4">
        <v>46231.6201</v>
      </c>
      <c r="C10" s="4">
        <v>2929.2341999999999</v>
      </c>
      <c r="D10" s="4">
        <v>1795.3339000000001</v>
      </c>
      <c r="E10" s="4">
        <v>1133.9003</v>
      </c>
      <c r="F10" s="5">
        <v>6969.8159999999998</v>
      </c>
      <c r="G10" s="4">
        <v>1766.5283999999999</v>
      </c>
      <c r="H10" s="4">
        <v>5203.2875999999997</v>
      </c>
      <c r="I10" s="4">
        <v>100.8952</v>
      </c>
      <c r="J10" s="5">
        <v>33367.322399999997</v>
      </c>
      <c r="K10" s="4">
        <v>5471.7151000000003</v>
      </c>
      <c r="L10" s="4">
        <v>27895.6073</v>
      </c>
      <c r="M10" s="4">
        <v>614.1961</v>
      </c>
      <c r="N10" s="4">
        <v>523.64700000000005</v>
      </c>
      <c r="O10" s="4">
        <v>90.549099999999996</v>
      </c>
      <c r="P10" s="4">
        <v>0</v>
      </c>
      <c r="Q10" s="4">
        <v>43.457000000000001</v>
      </c>
      <c r="R10" s="4">
        <v>43.457000000000001</v>
      </c>
      <c r="S10" s="4">
        <v>2206.6993000000002</v>
      </c>
      <c r="T10" s="4">
        <v>-4535.6472999999996</v>
      </c>
      <c r="U10" s="4">
        <v>50767.267399999997</v>
      </c>
      <c r="V10" s="4">
        <v>27730.614699999998</v>
      </c>
      <c r="W10" s="4">
        <v>5906.7348000000002</v>
      </c>
      <c r="X10" s="4">
        <v>21823.8799</v>
      </c>
      <c r="Y10" s="4">
        <v>7063.8878000000004</v>
      </c>
      <c r="Z10" s="4">
        <v>0</v>
      </c>
      <c r="AA10" s="4">
        <v>7063.8878000000004</v>
      </c>
      <c r="AB10" s="4">
        <v>4426.134</v>
      </c>
      <c r="AC10" s="4">
        <v>2616.7763</v>
      </c>
      <c r="AD10" s="4">
        <v>1809.3577</v>
      </c>
      <c r="AE10" s="4">
        <v>9312.5326999999997</v>
      </c>
      <c r="AF10" s="4">
        <v>7690.0362999999998</v>
      </c>
      <c r="AG10" s="4">
        <v>1622.4964</v>
      </c>
      <c r="AH10" s="4">
        <v>2234.0983000000001</v>
      </c>
    </row>
    <row r="11" spans="1:34" x14ac:dyDescent="0.2">
      <c r="A11" s="3">
        <v>38231</v>
      </c>
      <c r="B11" s="4">
        <v>47408.029000000002</v>
      </c>
      <c r="C11" s="4">
        <v>2469.0803000000001</v>
      </c>
      <c r="D11" s="4">
        <v>1533.1096</v>
      </c>
      <c r="E11" s="4">
        <v>935.97069999999997</v>
      </c>
      <c r="F11" s="5">
        <v>6670.0150000000003</v>
      </c>
      <c r="G11" s="4">
        <v>1872.3759</v>
      </c>
      <c r="H11" s="4">
        <v>4797.6391000000003</v>
      </c>
      <c r="I11" s="4">
        <v>25.159400000000002</v>
      </c>
      <c r="J11" s="5">
        <v>34445.609199999999</v>
      </c>
      <c r="K11" s="4">
        <v>5437.3257000000003</v>
      </c>
      <c r="L11" s="4">
        <v>29008.283500000001</v>
      </c>
      <c r="M11" s="4">
        <v>683.15020000000004</v>
      </c>
      <c r="N11" s="4">
        <v>575.35400000000004</v>
      </c>
      <c r="O11" s="4">
        <v>107.7962</v>
      </c>
      <c r="P11" s="4">
        <v>0</v>
      </c>
      <c r="Q11" s="4">
        <v>45.2971</v>
      </c>
      <c r="R11" s="4">
        <v>45.2971</v>
      </c>
      <c r="S11" s="4">
        <v>3069.7179000000001</v>
      </c>
      <c r="T11" s="4">
        <v>-4937.8649999999998</v>
      </c>
      <c r="U11" s="4">
        <v>52345.894</v>
      </c>
      <c r="V11" s="4">
        <v>28619.013299999999</v>
      </c>
      <c r="W11" s="4">
        <v>5699.9865</v>
      </c>
      <c r="X11" s="4">
        <v>22919.0268</v>
      </c>
      <c r="Y11" s="4">
        <v>7365.1135000000004</v>
      </c>
      <c r="Z11" s="4">
        <v>0</v>
      </c>
      <c r="AA11" s="4">
        <v>7365.1135000000004</v>
      </c>
      <c r="AB11" s="4">
        <v>3553.2871</v>
      </c>
      <c r="AC11" s="4">
        <v>2026.8034</v>
      </c>
      <c r="AD11" s="4">
        <v>1526.4837</v>
      </c>
      <c r="AE11" s="4">
        <v>9761.9316999999992</v>
      </c>
      <c r="AF11" s="4">
        <v>8097.2821000000004</v>
      </c>
      <c r="AG11" s="4">
        <v>1664.6496</v>
      </c>
      <c r="AH11" s="4">
        <v>3046.5484000000001</v>
      </c>
    </row>
    <row r="12" spans="1:34" x14ac:dyDescent="0.2">
      <c r="A12" s="3">
        <v>38322</v>
      </c>
      <c r="B12" s="4">
        <v>48853.889900000002</v>
      </c>
      <c r="C12" s="4">
        <v>3648.7741999999998</v>
      </c>
      <c r="D12" s="4">
        <v>2233.2534000000001</v>
      </c>
      <c r="E12" s="4">
        <v>1415.5208</v>
      </c>
      <c r="F12" s="5">
        <v>6078.6966000000002</v>
      </c>
      <c r="G12" s="4">
        <v>1566.8661</v>
      </c>
      <c r="H12" s="4">
        <v>4511.8305</v>
      </c>
      <c r="I12" s="4">
        <v>3.1745999999999999</v>
      </c>
      <c r="J12" s="5">
        <v>35815.1106</v>
      </c>
      <c r="K12" s="4">
        <v>5535.6835000000001</v>
      </c>
      <c r="L12" s="4">
        <v>30279.427100000001</v>
      </c>
      <c r="M12" s="4">
        <v>723.23580000000004</v>
      </c>
      <c r="N12" s="4">
        <v>594.68209999999999</v>
      </c>
      <c r="O12" s="4">
        <v>128.55369999999999</v>
      </c>
      <c r="P12" s="4">
        <v>0</v>
      </c>
      <c r="Q12" s="4">
        <v>46.488599999999998</v>
      </c>
      <c r="R12" s="4">
        <v>46.488599999999998</v>
      </c>
      <c r="S12" s="4">
        <v>2538.4094</v>
      </c>
      <c r="T12" s="4">
        <v>-5276.3397000000004</v>
      </c>
      <c r="U12" s="4">
        <v>54130.229599999999</v>
      </c>
      <c r="V12" s="4">
        <v>30256.198499999999</v>
      </c>
      <c r="W12" s="4">
        <v>6461.8397999999997</v>
      </c>
      <c r="X12" s="4">
        <v>23794.358700000001</v>
      </c>
      <c r="Y12" s="4">
        <v>7417.1891999999998</v>
      </c>
      <c r="Z12" s="4">
        <v>0</v>
      </c>
      <c r="AA12" s="4">
        <v>7417.1891999999998</v>
      </c>
      <c r="AB12" s="4">
        <v>4656.6994000000004</v>
      </c>
      <c r="AC12" s="4">
        <v>2916.5933</v>
      </c>
      <c r="AD12" s="4">
        <v>1740.1061</v>
      </c>
      <c r="AE12" s="4">
        <v>10297.447099999999</v>
      </c>
      <c r="AF12" s="4">
        <v>8570.0020999999997</v>
      </c>
      <c r="AG12" s="4">
        <v>1727.4449999999999</v>
      </c>
      <c r="AH12" s="4">
        <v>1502.6954000000001</v>
      </c>
    </row>
    <row r="13" spans="1:34" x14ac:dyDescent="0.2">
      <c r="A13" s="3">
        <v>38412</v>
      </c>
      <c r="B13" s="4">
        <v>50834.669199999997</v>
      </c>
      <c r="C13" s="4">
        <v>4119.5353999999998</v>
      </c>
      <c r="D13" s="4">
        <v>2932.8809999999999</v>
      </c>
      <c r="E13" s="4">
        <v>1186.6543999999999</v>
      </c>
      <c r="F13" s="5">
        <v>6089.0108</v>
      </c>
      <c r="G13" s="4">
        <v>1239.3300999999999</v>
      </c>
      <c r="H13" s="4">
        <v>4849.6806999999999</v>
      </c>
      <c r="I13" s="4">
        <v>36.290999999999997</v>
      </c>
      <c r="J13" s="5">
        <v>36991.8315</v>
      </c>
      <c r="K13" s="4">
        <v>5735.0676999999996</v>
      </c>
      <c r="L13" s="4">
        <v>31256.763800000001</v>
      </c>
      <c r="M13" s="4">
        <v>727.779</v>
      </c>
      <c r="N13" s="4">
        <v>619.01099999999997</v>
      </c>
      <c r="O13" s="4">
        <v>108.768</v>
      </c>
      <c r="P13" s="4">
        <v>0</v>
      </c>
      <c r="Q13" s="4">
        <v>47.461399999999998</v>
      </c>
      <c r="R13" s="4">
        <v>47.461399999999998</v>
      </c>
      <c r="S13" s="4">
        <v>2822.7601</v>
      </c>
      <c r="T13" s="4">
        <v>-5578.6342999999997</v>
      </c>
      <c r="U13" s="4">
        <v>56413.303500000002</v>
      </c>
      <c r="V13" s="4">
        <v>31673.5861</v>
      </c>
      <c r="W13" s="4">
        <v>6295.6755999999996</v>
      </c>
      <c r="X13" s="4">
        <v>25377.910500000002</v>
      </c>
      <c r="Y13" s="4">
        <v>7329.5099</v>
      </c>
      <c r="Z13" s="4">
        <v>0</v>
      </c>
      <c r="AA13" s="4">
        <v>7329.5099</v>
      </c>
      <c r="AB13" s="4">
        <v>4655.3765000000003</v>
      </c>
      <c r="AC13" s="4">
        <v>2705.1614</v>
      </c>
      <c r="AD13" s="4">
        <v>1950.2152000000001</v>
      </c>
      <c r="AE13" s="4">
        <v>10330.7821</v>
      </c>
      <c r="AF13" s="4">
        <v>8462.4091000000008</v>
      </c>
      <c r="AG13" s="4">
        <v>1868.373</v>
      </c>
      <c r="AH13" s="4">
        <v>2424.0488999999998</v>
      </c>
    </row>
    <row r="14" spans="1:34" x14ac:dyDescent="0.2">
      <c r="A14" s="3">
        <v>38504</v>
      </c>
      <c r="B14" s="4">
        <v>53162.852599999998</v>
      </c>
      <c r="C14" s="4">
        <v>4518.6603999999998</v>
      </c>
      <c r="D14" s="4">
        <v>2346.8130000000001</v>
      </c>
      <c r="E14" s="4">
        <v>2171.8472999999999</v>
      </c>
      <c r="F14" s="5">
        <v>6161.6848</v>
      </c>
      <c r="G14" s="4">
        <v>1477.058</v>
      </c>
      <c r="H14" s="4">
        <v>4684.6268</v>
      </c>
      <c r="I14" s="4">
        <v>20.658000000000001</v>
      </c>
      <c r="J14" s="5">
        <v>38534.258300000001</v>
      </c>
      <c r="K14" s="4">
        <v>6215.625</v>
      </c>
      <c r="L14" s="4">
        <v>32318.633399999999</v>
      </c>
      <c r="M14" s="4">
        <v>804.99450000000002</v>
      </c>
      <c r="N14" s="4">
        <v>642.72080000000005</v>
      </c>
      <c r="O14" s="4">
        <v>162.27379999999999</v>
      </c>
      <c r="P14" s="4">
        <v>0</v>
      </c>
      <c r="Q14" s="4">
        <v>51.297400000000003</v>
      </c>
      <c r="R14" s="4">
        <v>51.297400000000003</v>
      </c>
      <c r="S14" s="4">
        <v>3071.2991999999999</v>
      </c>
      <c r="T14" s="4">
        <v>-5564.4251000000004</v>
      </c>
      <c r="U14" s="4">
        <v>58727.277699999999</v>
      </c>
      <c r="V14" s="4">
        <v>33641.924400000004</v>
      </c>
      <c r="W14" s="4">
        <v>6452.0063</v>
      </c>
      <c r="X14" s="4">
        <v>27189.918099999999</v>
      </c>
      <c r="Y14" s="4">
        <v>7554.2395999999999</v>
      </c>
      <c r="Z14" s="4">
        <v>0</v>
      </c>
      <c r="AA14" s="4">
        <v>7554.2395999999999</v>
      </c>
      <c r="AB14" s="4">
        <v>4599.1400999999996</v>
      </c>
      <c r="AC14" s="4">
        <v>2151.0601000000001</v>
      </c>
      <c r="AD14" s="4">
        <v>2448.08</v>
      </c>
      <c r="AE14" s="4">
        <v>10226.1214</v>
      </c>
      <c r="AF14" s="4">
        <v>8326.7060000000001</v>
      </c>
      <c r="AG14" s="4">
        <v>1899.4154000000001</v>
      </c>
      <c r="AH14" s="4">
        <v>2705.8523</v>
      </c>
    </row>
    <row r="15" spans="1:34" x14ac:dyDescent="0.2">
      <c r="A15" s="3">
        <v>38596</v>
      </c>
      <c r="B15" s="4">
        <v>53288.742200000001</v>
      </c>
      <c r="C15" s="4">
        <v>3817.9958000000001</v>
      </c>
      <c r="D15" s="4">
        <v>2012.2969000000001</v>
      </c>
      <c r="E15" s="4">
        <v>1805.6989000000001</v>
      </c>
      <c r="F15" s="5">
        <v>6278.9812000000002</v>
      </c>
      <c r="G15" s="4">
        <v>1726.5838000000001</v>
      </c>
      <c r="H15" s="4">
        <v>4552.3973999999998</v>
      </c>
      <c r="I15" s="4">
        <v>40.607199999999999</v>
      </c>
      <c r="J15" s="5">
        <v>40096.722099999999</v>
      </c>
      <c r="K15" s="4">
        <v>6155.7169000000004</v>
      </c>
      <c r="L15" s="4">
        <v>33941.0052</v>
      </c>
      <c r="M15" s="4">
        <v>840.39359999999999</v>
      </c>
      <c r="N15" s="4">
        <v>660.86030000000005</v>
      </c>
      <c r="O15" s="4">
        <v>179.5333</v>
      </c>
      <c r="P15" s="4">
        <v>0</v>
      </c>
      <c r="Q15" s="4">
        <v>55.039700000000003</v>
      </c>
      <c r="R15" s="4">
        <v>55.039700000000003</v>
      </c>
      <c r="S15" s="4">
        <v>2159.0027</v>
      </c>
      <c r="T15" s="4">
        <v>-6387.3768</v>
      </c>
      <c r="U15" s="4">
        <v>59676.118999999999</v>
      </c>
      <c r="V15" s="4">
        <v>33995.337899999999</v>
      </c>
      <c r="W15" s="4">
        <v>6324.6517000000003</v>
      </c>
      <c r="X15" s="4">
        <v>27670.6862</v>
      </c>
      <c r="Y15" s="4">
        <v>7492.1351000000004</v>
      </c>
      <c r="Z15" s="4">
        <v>0</v>
      </c>
      <c r="AA15" s="4">
        <v>7492.1351000000004</v>
      </c>
      <c r="AB15" s="4">
        <v>4239.0681999999997</v>
      </c>
      <c r="AC15" s="4">
        <v>1816.3056999999999</v>
      </c>
      <c r="AD15" s="4">
        <v>2422.7626</v>
      </c>
      <c r="AE15" s="4">
        <v>11423.959800000001</v>
      </c>
      <c r="AF15" s="4">
        <v>9525.2294999999995</v>
      </c>
      <c r="AG15" s="4">
        <v>1898.7302999999999</v>
      </c>
      <c r="AH15" s="4">
        <v>2525.6179999999999</v>
      </c>
    </row>
    <row r="16" spans="1:34" x14ac:dyDescent="0.2">
      <c r="A16" s="3">
        <v>38687</v>
      </c>
      <c r="B16" s="4">
        <v>56170.025600000001</v>
      </c>
      <c r="C16" s="4">
        <v>5239.3966</v>
      </c>
      <c r="D16" s="4">
        <v>2286.8557000000001</v>
      </c>
      <c r="E16" s="4">
        <v>2952.5409</v>
      </c>
      <c r="F16" s="5">
        <v>5970.6172999999999</v>
      </c>
      <c r="G16" s="4">
        <v>1837.6904</v>
      </c>
      <c r="H16" s="4">
        <v>4132.9269000000004</v>
      </c>
      <c r="I16" s="4">
        <v>25.8871</v>
      </c>
      <c r="J16" s="5">
        <v>42113.341099999998</v>
      </c>
      <c r="K16" s="4">
        <v>6277.4222</v>
      </c>
      <c r="L16" s="4">
        <v>35835.918899999997</v>
      </c>
      <c r="M16" s="4">
        <v>736.01279999999997</v>
      </c>
      <c r="N16" s="4">
        <v>678.75429999999994</v>
      </c>
      <c r="O16" s="4">
        <v>57.258499999999998</v>
      </c>
      <c r="P16" s="4">
        <v>0</v>
      </c>
      <c r="Q16" s="4">
        <v>57.931800000000003</v>
      </c>
      <c r="R16" s="4">
        <v>57.931800000000003</v>
      </c>
      <c r="S16" s="4">
        <v>2026.8389999999999</v>
      </c>
      <c r="T16" s="4">
        <v>-5670.2797</v>
      </c>
      <c r="U16" s="4">
        <v>61840.3053</v>
      </c>
      <c r="V16" s="4">
        <v>36983.615400000002</v>
      </c>
      <c r="W16" s="4">
        <v>7421.1397999999999</v>
      </c>
      <c r="X16" s="4">
        <v>29562.475600000002</v>
      </c>
      <c r="Y16" s="4">
        <v>7482.8496999999998</v>
      </c>
      <c r="Z16" s="4">
        <v>0</v>
      </c>
      <c r="AA16" s="4">
        <v>7482.8496999999998</v>
      </c>
      <c r="AB16" s="4">
        <v>4650.4647999999997</v>
      </c>
      <c r="AC16" s="4">
        <v>1722.2729999999999</v>
      </c>
      <c r="AD16" s="4">
        <v>2928.1918000000001</v>
      </c>
      <c r="AE16" s="4">
        <v>10942.9262</v>
      </c>
      <c r="AF16" s="4">
        <v>9023.4019000000008</v>
      </c>
      <c r="AG16" s="4">
        <v>1919.5243</v>
      </c>
      <c r="AH16" s="4">
        <v>1780.4491</v>
      </c>
    </row>
    <row r="17" spans="1:34" x14ac:dyDescent="0.2">
      <c r="A17" s="3">
        <v>38777</v>
      </c>
      <c r="B17" s="4">
        <v>58113.344400000002</v>
      </c>
      <c r="C17" s="4">
        <v>5449.0906000000004</v>
      </c>
      <c r="D17" s="4">
        <v>3754.5082000000002</v>
      </c>
      <c r="E17" s="4">
        <v>1694.5824</v>
      </c>
      <c r="F17" s="5">
        <v>5515.1692999999996</v>
      </c>
      <c r="G17" s="4">
        <v>1714.4519</v>
      </c>
      <c r="H17" s="4">
        <v>3800.7172999999998</v>
      </c>
      <c r="I17" s="4">
        <v>65.9285</v>
      </c>
      <c r="J17" s="5">
        <v>43727.512999999999</v>
      </c>
      <c r="K17" s="4">
        <v>6567.6845000000003</v>
      </c>
      <c r="L17" s="4">
        <v>37159.828500000003</v>
      </c>
      <c r="M17" s="4">
        <v>848.15309999999999</v>
      </c>
      <c r="N17" s="4">
        <v>705.79079999999999</v>
      </c>
      <c r="O17" s="4">
        <v>142.3622</v>
      </c>
      <c r="P17" s="4">
        <v>0</v>
      </c>
      <c r="Q17" s="4">
        <v>57.5137</v>
      </c>
      <c r="R17" s="4">
        <v>57.5137</v>
      </c>
      <c r="S17" s="4">
        <v>2449.9762999999998</v>
      </c>
      <c r="T17" s="4">
        <v>-6121.9724999999999</v>
      </c>
      <c r="U17" s="4">
        <v>64235.316899999998</v>
      </c>
      <c r="V17" s="4">
        <v>37920.376400000001</v>
      </c>
      <c r="W17" s="4">
        <v>7201.8014999999996</v>
      </c>
      <c r="X17" s="4">
        <v>30718.575000000001</v>
      </c>
      <c r="Y17" s="4">
        <v>7439.9479000000001</v>
      </c>
      <c r="Z17" s="4">
        <v>0</v>
      </c>
      <c r="AA17" s="4">
        <v>7439.9479000000001</v>
      </c>
      <c r="AB17" s="4">
        <v>5058.7569999999996</v>
      </c>
      <c r="AC17" s="4">
        <v>1449.45</v>
      </c>
      <c r="AD17" s="4">
        <v>3609.3069</v>
      </c>
      <c r="AE17" s="4">
        <v>11400.7636</v>
      </c>
      <c r="AF17" s="4">
        <v>9331.0151000000005</v>
      </c>
      <c r="AG17" s="4">
        <v>2069.7485000000001</v>
      </c>
      <c r="AH17" s="4">
        <v>2415.4720000000002</v>
      </c>
    </row>
    <row r="18" spans="1:34" x14ac:dyDescent="0.2">
      <c r="A18" s="3">
        <v>38869</v>
      </c>
      <c r="B18" s="4">
        <v>59927.883500000004</v>
      </c>
      <c r="C18" s="4">
        <v>5786.43</v>
      </c>
      <c r="D18" s="4">
        <v>3456.5962</v>
      </c>
      <c r="E18" s="4">
        <v>2329.8339000000001</v>
      </c>
      <c r="F18" s="5">
        <v>5310.3478999999998</v>
      </c>
      <c r="G18" s="4">
        <v>1724.6789000000001</v>
      </c>
      <c r="H18" s="4">
        <v>3585.6689999999999</v>
      </c>
      <c r="I18" s="4">
        <v>165.46549999999999</v>
      </c>
      <c r="J18" s="5">
        <v>45410.169000000002</v>
      </c>
      <c r="K18" s="4">
        <v>6853.9494000000004</v>
      </c>
      <c r="L18" s="4">
        <v>38556.219599999997</v>
      </c>
      <c r="M18" s="4">
        <v>707.84439999999995</v>
      </c>
      <c r="N18" s="4">
        <v>703.23910000000001</v>
      </c>
      <c r="O18" s="4">
        <v>4.6052</v>
      </c>
      <c r="P18" s="4">
        <v>0</v>
      </c>
      <c r="Q18" s="4">
        <v>61.718600000000002</v>
      </c>
      <c r="R18" s="4">
        <v>61.718600000000002</v>
      </c>
      <c r="S18" s="4">
        <v>2485.9081000000001</v>
      </c>
      <c r="T18" s="4">
        <v>-5739.9598999999998</v>
      </c>
      <c r="U18" s="4">
        <v>65667.843399999998</v>
      </c>
      <c r="V18" s="4">
        <v>39577.533000000003</v>
      </c>
      <c r="W18" s="4">
        <v>7677.9273999999996</v>
      </c>
      <c r="X18" s="4">
        <v>31899.605599999999</v>
      </c>
      <c r="Y18" s="4">
        <v>7803.8018000000002</v>
      </c>
      <c r="Z18" s="4">
        <v>0</v>
      </c>
      <c r="AA18" s="4">
        <v>7803.8018000000002</v>
      </c>
      <c r="AB18" s="4">
        <v>4985.0344999999998</v>
      </c>
      <c r="AC18" s="4">
        <v>1263.1156000000001</v>
      </c>
      <c r="AD18" s="4">
        <v>3721.9189999999999</v>
      </c>
      <c r="AE18" s="4">
        <v>11072.4097</v>
      </c>
      <c r="AF18" s="4">
        <v>9010.6321000000007</v>
      </c>
      <c r="AG18" s="4">
        <v>2061.7775999999999</v>
      </c>
      <c r="AH18" s="4">
        <v>2229.0644000000002</v>
      </c>
    </row>
    <row r="19" spans="1:34" x14ac:dyDescent="0.2">
      <c r="A19" s="3">
        <v>38961</v>
      </c>
      <c r="B19" s="4">
        <v>61219.932200000003</v>
      </c>
      <c r="C19" s="4">
        <v>5883.0875999999998</v>
      </c>
      <c r="D19" s="4">
        <v>3057.3040999999998</v>
      </c>
      <c r="E19" s="4">
        <v>2825.7836000000002</v>
      </c>
      <c r="F19" s="5">
        <v>4778.1157999999996</v>
      </c>
      <c r="G19" s="4">
        <v>1551.6373000000001</v>
      </c>
      <c r="H19" s="4">
        <v>3226.4785000000002</v>
      </c>
      <c r="I19" s="4">
        <v>89.794300000000007</v>
      </c>
      <c r="J19" s="5">
        <v>47384.186199999996</v>
      </c>
      <c r="K19" s="4">
        <v>7223.5042999999996</v>
      </c>
      <c r="L19" s="4">
        <v>40160.681900000003</v>
      </c>
      <c r="M19" s="4">
        <v>755.66600000000005</v>
      </c>
      <c r="N19" s="4">
        <v>750.86</v>
      </c>
      <c r="O19" s="4">
        <v>4.806</v>
      </c>
      <c r="P19" s="4">
        <v>0</v>
      </c>
      <c r="Q19" s="4">
        <v>64.550200000000004</v>
      </c>
      <c r="R19" s="4">
        <v>64.550200000000004</v>
      </c>
      <c r="S19" s="4">
        <v>2264.5322000000001</v>
      </c>
      <c r="T19" s="4">
        <v>-6493.5384000000004</v>
      </c>
      <c r="U19" s="4">
        <v>67713.470600000001</v>
      </c>
      <c r="V19" s="4">
        <v>40300.458100000003</v>
      </c>
      <c r="W19" s="4">
        <v>7630.0006999999996</v>
      </c>
      <c r="X19" s="4">
        <v>32670.457299999998</v>
      </c>
      <c r="Y19" s="4">
        <v>8556.4390000000003</v>
      </c>
      <c r="Z19" s="4">
        <v>0</v>
      </c>
      <c r="AA19" s="4">
        <v>8556.4390000000003</v>
      </c>
      <c r="AB19" s="4">
        <v>4432.1935999999996</v>
      </c>
      <c r="AC19" s="4">
        <v>1441.7528</v>
      </c>
      <c r="AD19" s="4">
        <v>2990.4407999999999</v>
      </c>
      <c r="AE19" s="4">
        <v>11922.349099999999</v>
      </c>
      <c r="AF19" s="4">
        <v>9787.9513000000006</v>
      </c>
      <c r="AG19" s="4">
        <v>2134.3978000000002</v>
      </c>
      <c r="AH19" s="4">
        <v>2502.0308</v>
      </c>
    </row>
    <row r="20" spans="1:34" x14ac:dyDescent="0.2">
      <c r="A20" s="3">
        <v>39052</v>
      </c>
      <c r="B20" s="4">
        <v>63699.375599999999</v>
      </c>
      <c r="C20" s="4">
        <v>6639.3831</v>
      </c>
      <c r="D20" s="4">
        <v>2921.0765000000001</v>
      </c>
      <c r="E20" s="4">
        <v>3718.3065000000001</v>
      </c>
      <c r="F20" s="5">
        <v>4776.4561000000003</v>
      </c>
      <c r="G20" s="4">
        <v>1605.5465999999999</v>
      </c>
      <c r="H20" s="4">
        <v>3170.9095000000002</v>
      </c>
      <c r="I20" s="4">
        <v>48.882599999999996</v>
      </c>
      <c r="J20" s="5">
        <v>49164.949699999997</v>
      </c>
      <c r="K20" s="4">
        <v>7418.3954999999996</v>
      </c>
      <c r="L20" s="4">
        <v>41746.554300000003</v>
      </c>
      <c r="M20" s="4">
        <v>797.8374</v>
      </c>
      <c r="N20" s="4">
        <v>783.15620000000001</v>
      </c>
      <c r="O20" s="4">
        <v>14.6812</v>
      </c>
      <c r="P20" s="4">
        <v>0</v>
      </c>
      <c r="Q20" s="4">
        <v>65.711699999999993</v>
      </c>
      <c r="R20" s="4">
        <v>65.711699999999993</v>
      </c>
      <c r="S20" s="4">
        <v>2206.1549</v>
      </c>
      <c r="T20" s="4">
        <v>-7496.0379000000003</v>
      </c>
      <c r="U20" s="4">
        <v>71195.413499999995</v>
      </c>
      <c r="V20" s="4">
        <v>42599.191899999998</v>
      </c>
      <c r="W20" s="4">
        <v>8791.6869999999999</v>
      </c>
      <c r="X20" s="4">
        <v>33807.5049</v>
      </c>
      <c r="Y20" s="4">
        <v>8960.3192999999992</v>
      </c>
      <c r="Z20" s="4">
        <v>0</v>
      </c>
      <c r="AA20" s="4">
        <v>8960.3192999999992</v>
      </c>
      <c r="AB20" s="4">
        <v>4949.1243000000004</v>
      </c>
      <c r="AC20" s="4">
        <v>2168.3274999999999</v>
      </c>
      <c r="AD20" s="4">
        <v>2780.7966999999999</v>
      </c>
      <c r="AE20" s="4">
        <v>12925.9584</v>
      </c>
      <c r="AF20" s="4">
        <v>10785.778899999999</v>
      </c>
      <c r="AG20" s="4">
        <v>2140.1795000000002</v>
      </c>
      <c r="AH20" s="4">
        <v>1760.8196</v>
      </c>
    </row>
    <row r="21" spans="1:34" x14ac:dyDescent="0.2">
      <c r="A21" s="3">
        <v>39142</v>
      </c>
      <c r="B21" s="4">
        <v>67256.715800000005</v>
      </c>
      <c r="C21" s="4">
        <v>5675.1729999999998</v>
      </c>
      <c r="D21" s="4">
        <v>3084.4553999999998</v>
      </c>
      <c r="E21" s="4">
        <v>2590.7175999999999</v>
      </c>
      <c r="F21" s="5">
        <v>5479.3751000000002</v>
      </c>
      <c r="G21" s="4">
        <v>1395.5400999999999</v>
      </c>
      <c r="H21" s="4">
        <v>4083.835</v>
      </c>
      <c r="I21" s="4">
        <v>53.000399999999999</v>
      </c>
      <c r="J21" s="5">
        <v>51488.660900000003</v>
      </c>
      <c r="K21" s="4">
        <v>8139.9250000000002</v>
      </c>
      <c r="L21" s="4">
        <v>43348.7359</v>
      </c>
      <c r="M21" s="4">
        <v>816.73509999999999</v>
      </c>
      <c r="N21" s="4">
        <v>816.73509999999999</v>
      </c>
      <c r="O21" s="4">
        <v>0</v>
      </c>
      <c r="P21" s="4">
        <v>0</v>
      </c>
      <c r="Q21" s="4">
        <v>67.561400000000006</v>
      </c>
      <c r="R21" s="4">
        <v>67.561400000000006</v>
      </c>
      <c r="S21" s="4">
        <v>3676.2098000000001</v>
      </c>
      <c r="T21" s="4">
        <v>-7780.6758</v>
      </c>
      <c r="U21" s="4">
        <v>75037.391600000003</v>
      </c>
      <c r="V21" s="4">
        <v>44507.586199999998</v>
      </c>
      <c r="W21" s="4">
        <v>8700.9213</v>
      </c>
      <c r="X21" s="4">
        <v>35806.664900000003</v>
      </c>
      <c r="Y21" s="4">
        <v>9038.3495999999996</v>
      </c>
      <c r="Z21" s="4">
        <v>0</v>
      </c>
      <c r="AA21" s="4">
        <v>9038.3495999999996</v>
      </c>
      <c r="AB21" s="4">
        <v>4786.8909999999996</v>
      </c>
      <c r="AC21" s="4">
        <v>1836.575</v>
      </c>
      <c r="AD21" s="4">
        <v>2950.3161</v>
      </c>
      <c r="AE21" s="4">
        <v>13457.669</v>
      </c>
      <c r="AF21" s="4">
        <v>11091.162399999999</v>
      </c>
      <c r="AG21" s="4">
        <v>2366.5066000000002</v>
      </c>
      <c r="AH21" s="4">
        <v>3246.8957999999998</v>
      </c>
    </row>
    <row r="22" spans="1:34" x14ac:dyDescent="0.2">
      <c r="A22" s="3">
        <v>39234</v>
      </c>
      <c r="B22" s="4">
        <v>70910.679199999999</v>
      </c>
      <c r="C22" s="4">
        <v>6699.8941000000004</v>
      </c>
      <c r="D22" s="4">
        <v>3232.4211</v>
      </c>
      <c r="E22" s="4">
        <v>3467.4731000000002</v>
      </c>
      <c r="F22" s="5">
        <v>5721.9917999999998</v>
      </c>
      <c r="G22" s="4">
        <v>1288.4955</v>
      </c>
      <c r="H22" s="4">
        <v>4433.4962999999998</v>
      </c>
      <c r="I22" s="4">
        <v>74.828500000000005</v>
      </c>
      <c r="J22" s="5">
        <v>53720.864399999999</v>
      </c>
      <c r="K22" s="4">
        <v>8476.2181999999993</v>
      </c>
      <c r="L22" s="4">
        <v>45244.646099999998</v>
      </c>
      <c r="M22" s="4">
        <v>825.97929999999997</v>
      </c>
      <c r="N22" s="4">
        <v>825.97929999999997</v>
      </c>
      <c r="O22" s="4">
        <v>0</v>
      </c>
      <c r="P22" s="4">
        <v>0</v>
      </c>
      <c r="Q22" s="4">
        <v>74.256</v>
      </c>
      <c r="R22" s="4">
        <v>74.256</v>
      </c>
      <c r="S22" s="4">
        <v>3792.8651</v>
      </c>
      <c r="T22" s="4">
        <v>-7757.0276000000003</v>
      </c>
      <c r="U22" s="4">
        <v>78667.7068</v>
      </c>
      <c r="V22" s="4">
        <v>46624.6391</v>
      </c>
      <c r="W22" s="4">
        <v>8748.6772000000001</v>
      </c>
      <c r="X22" s="4">
        <v>37875.962</v>
      </c>
      <c r="Y22" s="4">
        <v>9379.8672000000006</v>
      </c>
      <c r="Z22" s="4">
        <v>0</v>
      </c>
      <c r="AA22" s="4">
        <v>9379.8672000000006</v>
      </c>
      <c r="AB22" s="4">
        <v>6014.7109</v>
      </c>
      <c r="AC22" s="4">
        <v>2068.9236999999998</v>
      </c>
      <c r="AD22" s="4">
        <v>3945.7872000000002</v>
      </c>
      <c r="AE22" s="4">
        <v>13695.8894</v>
      </c>
      <c r="AF22" s="4">
        <v>11332.4041</v>
      </c>
      <c r="AG22" s="4">
        <v>2363.4852999999998</v>
      </c>
      <c r="AH22" s="4">
        <v>2952.6001000000001</v>
      </c>
    </row>
    <row r="23" spans="1:34" x14ac:dyDescent="0.2">
      <c r="A23" s="3">
        <v>39326</v>
      </c>
      <c r="B23" s="4">
        <v>73418.247799999997</v>
      </c>
      <c r="C23" s="4">
        <v>6435.2650000000003</v>
      </c>
      <c r="D23" s="4">
        <v>3240.4277999999999</v>
      </c>
      <c r="E23" s="4">
        <v>3194.8371999999999</v>
      </c>
      <c r="F23" s="5">
        <v>5511.8597</v>
      </c>
      <c r="G23" s="4">
        <v>1112.0159000000001</v>
      </c>
      <c r="H23" s="4">
        <v>4399.8437000000004</v>
      </c>
      <c r="I23" s="4">
        <v>74.4041</v>
      </c>
      <c r="J23" s="5">
        <v>56450.888800000001</v>
      </c>
      <c r="K23" s="4">
        <v>8613.9287000000004</v>
      </c>
      <c r="L23" s="4">
        <v>47836.960099999997</v>
      </c>
      <c r="M23" s="4">
        <v>899.19929999999999</v>
      </c>
      <c r="N23" s="4">
        <v>880.62080000000003</v>
      </c>
      <c r="O23" s="4">
        <v>18.578499999999998</v>
      </c>
      <c r="P23" s="4">
        <v>0</v>
      </c>
      <c r="Q23" s="4">
        <v>79.608000000000004</v>
      </c>
      <c r="R23" s="4">
        <v>79.608000000000004</v>
      </c>
      <c r="S23" s="4">
        <v>3967.0230000000001</v>
      </c>
      <c r="T23" s="4">
        <v>-7097.0398999999998</v>
      </c>
      <c r="U23" s="4">
        <v>80515.287700000001</v>
      </c>
      <c r="V23" s="4">
        <v>47258.616800000003</v>
      </c>
      <c r="W23" s="4">
        <v>9205.8251999999993</v>
      </c>
      <c r="X23" s="4">
        <v>38052.791700000002</v>
      </c>
      <c r="Y23" s="4">
        <v>10555.961799999999</v>
      </c>
      <c r="Z23" s="4">
        <v>0</v>
      </c>
      <c r="AA23" s="4">
        <v>10555.961799999999</v>
      </c>
      <c r="AB23" s="4">
        <v>5900.6934000000001</v>
      </c>
      <c r="AC23" s="4">
        <v>1468.5579</v>
      </c>
      <c r="AD23" s="4">
        <v>4432.1355000000003</v>
      </c>
      <c r="AE23" s="4">
        <v>13317.6829</v>
      </c>
      <c r="AF23" s="4">
        <v>10881.991900000001</v>
      </c>
      <c r="AG23" s="4">
        <v>2435.6909999999998</v>
      </c>
      <c r="AH23" s="4">
        <v>3482.3328000000001</v>
      </c>
    </row>
    <row r="24" spans="1:34" x14ac:dyDescent="0.2">
      <c r="A24" s="3">
        <v>39417</v>
      </c>
      <c r="B24" s="4">
        <v>77094.602499999994</v>
      </c>
      <c r="C24" s="4">
        <v>7204.0069999999996</v>
      </c>
      <c r="D24" s="4">
        <v>3995.5369999999998</v>
      </c>
      <c r="E24" s="4">
        <v>3208.4701</v>
      </c>
      <c r="F24" s="5">
        <v>5906.9102999999996</v>
      </c>
      <c r="G24" s="4">
        <v>793.3664</v>
      </c>
      <c r="H24" s="4">
        <v>5113.5438999999997</v>
      </c>
      <c r="I24" s="4">
        <v>82.884399999999999</v>
      </c>
      <c r="J24" s="5">
        <v>59543.239099999999</v>
      </c>
      <c r="K24" s="4">
        <v>8891.5813999999991</v>
      </c>
      <c r="L24" s="4">
        <v>50651.657700000003</v>
      </c>
      <c r="M24" s="4">
        <v>1121.4664</v>
      </c>
      <c r="N24" s="4">
        <v>1098.0914</v>
      </c>
      <c r="O24" s="4">
        <v>23.375</v>
      </c>
      <c r="P24" s="4">
        <v>0</v>
      </c>
      <c r="Q24" s="4">
        <v>82.149699999999996</v>
      </c>
      <c r="R24" s="4">
        <v>82.149699999999996</v>
      </c>
      <c r="S24" s="4">
        <v>3153.9456</v>
      </c>
      <c r="T24" s="4">
        <v>-5965.5272000000004</v>
      </c>
      <c r="U24" s="4">
        <v>83060.129700000005</v>
      </c>
      <c r="V24" s="4">
        <v>50265.0605</v>
      </c>
      <c r="W24" s="4">
        <v>10639.1011</v>
      </c>
      <c r="X24" s="4">
        <v>39625.959499999997</v>
      </c>
      <c r="Y24" s="4">
        <v>11385.3467</v>
      </c>
      <c r="Z24" s="4">
        <v>0</v>
      </c>
      <c r="AA24" s="4">
        <v>11385.3467</v>
      </c>
      <c r="AB24" s="4">
        <v>6422.6931000000004</v>
      </c>
      <c r="AC24" s="4">
        <v>1849.8506</v>
      </c>
      <c r="AD24" s="4">
        <v>4572.8424999999997</v>
      </c>
      <c r="AE24" s="4">
        <v>12945.022800000001</v>
      </c>
      <c r="AF24" s="4">
        <v>10526.2934</v>
      </c>
      <c r="AG24" s="4">
        <v>2418.7294000000002</v>
      </c>
      <c r="AH24" s="4">
        <v>2042.0065999999999</v>
      </c>
    </row>
    <row r="25" spans="1:34" x14ac:dyDescent="0.2">
      <c r="A25" s="3">
        <v>39508</v>
      </c>
      <c r="B25" s="4">
        <v>77365.157099999997</v>
      </c>
      <c r="C25" s="4">
        <v>6660.8518999999997</v>
      </c>
      <c r="D25" s="4">
        <v>2999.0639999999999</v>
      </c>
      <c r="E25" s="4">
        <v>3661.788</v>
      </c>
      <c r="F25" s="5">
        <v>6184.8073000000004</v>
      </c>
      <c r="G25" s="4">
        <v>1162.4521</v>
      </c>
      <c r="H25" s="4">
        <v>5022.3552</v>
      </c>
      <c r="I25" s="4">
        <v>-70.916200000000003</v>
      </c>
      <c r="J25" s="5">
        <v>61111.891000000003</v>
      </c>
      <c r="K25" s="4">
        <v>8769.7947000000004</v>
      </c>
      <c r="L25" s="4">
        <v>52342.096299999997</v>
      </c>
      <c r="M25" s="4">
        <v>1302.7045000000001</v>
      </c>
      <c r="N25" s="4">
        <v>1175.412</v>
      </c>
      <c r="O25" s="4">
        <v>127.2924</v>
      </c>
      <c r="P25" s="4">
        <v>0</v>
      </c>
      <c r="Q25" s="4">
        <v>84.085400000000007</v>
      </c>
      <c r="R25" s="4">
        <v>84.085400000000007</v>
      </c>
      <c r="S25" s="4">
        <v>2091.7332000000001</v>
      </c>
      <c r="T25" s="4">
        <v>-6293.2461000000003</v>
      </c>
      <c r="U25" s="4">
        <v>83658.403200000001</v>
      </c>
      <c r="V25" s="4">
        <v>51357.576200000003</v>
      </c>
      <c r="W25" s="4">
        <v>10186.944299999999</v>
      </c>
      <c r="X25" s="4">
        <v>41170.6319</v>
      </c>
      <c r="Y25" s="4">
        <v>11764.502699999999</v>
      </c>
      <c r="Z25" s="4">
        <v>0</v>
      </c>
      <c r="AA25" s="4">
        <v>11764.502699999999</v>
      </c>
      <c r="AB25" s="4">
        <v>5851.7011000000002</v>
      </c>
      <c r="AC25" s="4">
        <v>1145.8916999999999</v>
      </c>
      <c r="AD25" s="4">
        <v>4705.8094000000001</v>
      </c>
      <c r="AE25" s="4">
        <v>12513.680700000001</v>
      </c>
      <c r="AF25" s="4">
        <v>10207.9714</v>
      </c>
      <c r="AG25" s="4">
        <v>2305.7093</v>
      </c>
      <c r="AH25" s="4">
        <v>2170.9425000000001</v>
      </c>
    </row>
    <row r="26" spans="1:34" x14ac:dyDescent="0.2">
      <c r="A26" s="3">
        <v>39600</v>
      </c>
      <c r="B26" s="4">
        <v>82644.834300000002</v>
      </c>
      <c r="C26" s="4">
        <v>6931.5123000000003</v>
      </c>
      <c r="D26" s="4">
        <v>3874.9920999999999</v>
      </c>
      <c r="E26" s="4">
        <v>3056.5201000000002</v>
      </c>
      <c r="F26" s="5">
        <v>6710.1827000000003</v>
      </c>
      <c r="G26" s="4">
        <v>1048.3141000000001</v>
      </c>
      <c r="H26" s="4">
        <v>5661.8687</v>
      </c>
      <c r="I26" s="4">
        <v>629.15319999999997</v>
      </c>
      <c r="J26" s="5">
        <v>65143.9234</v>
      </c>
      <c r="K26" s="4">
        <v>10345.8817</v>
      </c>
      <c r="L26" s="4">
        <v>54798.041700000002</v>
      </c>
      <c r="M26" s="4">
        <v>1254.9486999999999</v>
      </c>
      <c r="N26" s="4">
        <v>1123.6334999999999</v>
      </c>
      <c r="O26" s="4">
        <v>131.31530000000001</v>
      </c>
      <c r="P26" s="4">
        <v>0</v>
      </c>
      <c r="Q26" s="4">
        <v>89.400400000000005</v>
      </c>
      <c r="R26" s="4">
        <v>89.400400000000005</v>
      </c>
      <c r="S26" s="4">
        <v>1885.7137</v>
      </c>
      <c r="T26" s="4">
        <v>-5504.9443000000001</v>
      </c>
      <c r="U26" s="4">
        <v>88149.778699999995</v>
      </c>
      <c r="V26" s="4">
        <v>53742.212899999999</v>
      </c>
      <c r="W26" s="4">
        <v>10799.964</v>
      </c>
      <c r="X26" s="4">
        <v>42942.248899999999</v>
      </c>
      <c r="Y26" s="4">
        <v>12121.1489</v>
      </c>
      <c r="Z26" s="4">
        <v>0</v>
      </c>
      <c r="AA26" s="4">
        <v>12121.1489</v>
      </c>
      <c r="AB26" s="4">
        <v>7340.9492</v>
      </c>
      <c r="AC26" s="4">
        <v>1550.4471000000001</v>
      </c>
      <c r="AD26" s="4">
        <v>5790.5020999999997</v>
      </c>
      <c r="AE26" s="4">
        <v>12431.510899999999</v>
      </c>
      <c r="AF26" s="4">
        <v>10063.279399999999</v>
      </c>
      <c r="AG26" s="4">
        <v>2368.2314999999999</v>
      </c>
      <c r="AH26" s="4">
        <v>2513.9569000000001</v>
      </c>
    </row>
    <row r="27" spans="1:34" x14ac:dyDescent="0.2">
      <c r="A27" s="3">
        <v>39692</v>
      </c>
      <c r="B27" s="4">
        <v>86098.376000000004</v>
      </c>
      <c r="C27" s="4">
        <v>8469.1944999999996</v>
      </c>
      <c r="D27" s="4">
        <v>4409.4912999999997</v>
      </c>
      <c r="E27" s="4">
        <v>4059.7031999999999</v>
      </c>
      <c r="F27" s="5">
        <v>6936.7570999999998</v>
      </c>
      <c r="G27" s="4">
        <v>1329.1347000000001</v>
      </c>
      <c r="H27" s="4">
        <v>5607.6224000000002</v>
      </c>
      <c r="I27" s="4">
        <v>666.97760000000005</v>
      </c>
      <c r="J27" s="5">
        <v>67662.470499999996</v>
      </c>
      <c r="K27" s="4">
        <v>10536.706399999999</v>
      </c>
      <c r="L27" s="4">
        <v>57125.7641</v>
      </c>
      <c r="M27" s="4">
        <v>1197.2735</v>
      </c>
      <c r="N27" s="4">
        <v>1148.3198</v>
      </c>
      <c r="O27" s="4">
        <v>48.953699999999998</v>
      </c>
      <c r="P27" s="4">
        <v>0</v>
      </c>
      <c r="Q27" s="4">
        <v>95.535200000000003</v>
      </c>
      <c r="R27" s="4">
        <v>95.535200000000003</v>
      </c>
      <c r="S27" s="4">
        <v>1070.1675</v>
      </c>
      <c r="T27" s="4">
        <v>-4832.0541999999996</v>
      </c>
      <c r="U27" s="4">
        <v>90930.430200000003</v>
      </c>
      <c r="V27" s="4">
        <v>54955.682000000001</v>
      </c>
      <c r="W27" s="4">
        <v>10605.961799999999</v>
      </c>
      <c r="X27" s="4">
        <v>44349.720300000001</v>
      </c>
      <c r="Y27" s="4">
        <v>12870.3557</v>
      </c>
      <c r="Z27" s="4">
        <v>0</v>
      </c>
      <c r="AA27" s="4">
        <v>12870.3557</v>
      </c>
      <c r="AB27" s="4">
        <v>8273.9112999999998</v>
      </c>
      <c r="AC27" s="4">
        <v>2249.3242</v>
      </c>
      <c r="AD27" s="4">
        <v>6024.5870999999997</v>
      </c>
      <c r="AE27" s="4">
        <v>12137.6312</v>
      </c>
      <c r="AF27" s="4">
        <v>9663.1520999999993</v>
      </c>
      <c r="AG27" s="4">
        <v>2474.4791</v>
      </c>
      <c r="AH27" s="4">
        <v>2692.8499000000002</v>
      </c>
    </row>
    <row r="28" spans="1:34" x14ac:dyDescent="0.2">
      <c r="A28" s="3">
        <v>39783</v>
      </c>
      <c r="B28" s="4">
        <v>92104.867800000007</v>
      </c>
      <c r="C28" s="4">
        <v>9344.1090000000004</v>
      </c>
      <c r="D28" s="4">
        <v>4716.8476000000001</v>
      </c>
      <c r="E28" s="4">
        <v>4627.2614999999996</v>
      </c>
      <c r="F28" s="5">
        <v>7838.0048999999999</v>
      </c>
      <c r="G28" s="4">
        <v>1017.8287</v>
      </c>
      <c r="H28" s="4">
        <v>6820.1761999999999</v>
      </c>
      <c r="I28" s="4">
        <v>1085.8620000000001</v>
      </c>
      <c r="J28" s="5">
        <v>71219.397200000007</v>
      </c>
      <c r="K28" s="4">
        <v>11978.1324</v>
      </c>
      <c r="L28" s="4">
        <v>59241.264799999997</v>
      </c>
      <c r="M28" s="4">
        <v>1249.3479</v>
      </c>
      <c r="N28" s="4">
        <v>1209.7197000000001</v>
      </c>
      <c r="O28" s="4">
        <v>39.6282</v>
      </c>
      <c r="P28" s="4">
        <v>0</v>
      </c>
      <c r="Q28" s="4">
        <v>96.884399999999999</v>
      </c>
      <c r="R28" s="4">
        <v>96.884399999999999</v>
      </c>
      <c r="S28" s="4">
        <v>1271.2625</v>
      </c>
      <c r="T28" s="4">
        <v>-2679.4434000000001</v>
      </c>
      <c r="U28" s="4">
        <v>94784.311199999996</v>
      </c>
      <c r="V28" s="4">
        <v>59759.435899999997</v>
      </c>
      <c r="W28" s="4">
        <v>11850.1396</v>
      </c>
      <c r="X28" s="4">
        <v>47909.296300000002</v>
      </c>
      <c r="Y28" s="4">
        <v>12211.912399999999</v>
      </c>
      <c r="Z28" s="4">
        <v>0</v>
      </c>
      <c r="AA28" s="4">
        <v>12211.912399999999</v>
      </c>
      <c r="AB28" s="4">
        <v>9008.5264999999999</v>
      </c>
      <c r="AC28" s="4">
        <v>2652.4432000000002</v>
      </c>
      <c r="AD28" s="4">
        <v>6356.0832</v>
      </c>
      <c r="AE28" s="4">
        <v>11400.242099999999</v>
      </c>
      <c r="AF28" s="4">
        <v>8810.4431000000004</v>
      </c>
      <c r="AG28" s="4">
        <v>2589.799</v>
      </c>
      <c r="AH28" s="4">
        <v>2404.1943000000001</v>
      </c>
    </row>
    <row r="29" spans="1:34" x14ac:dyDescent="0.2">
      <c r="A29" s="3">
        <v>39873</v>
      </c>
      <c r="B29" s="4">
        <v>87623.268700000001</v>
      </c>
      <c r="C29" s="4">
        <v>8018.1352999999999</v>
      </c>
      <c r="D29" s="4">
        <v>4846.2085999999999</v>
      </c>
      <c r="E29" s="4">
        <v>3171.9267</v>
      </c>
      <c r="F29" s="5">
        <v>7330.2852999999996</v>
      </c>
      <c r="G29" s="4">
        <v>1529.9485999999999</v>
      </c>
      <c r="H29" s="4">
        <v>5800.3366999999998</v>
      </c>
      <c r="I29" s="4">
        <v>150.90350000000001</v>
      </c>
      <c r="J29" s="5">
        <v>69287.571100000001</v>
      </c>
      <c r="K29" s="4">
        <v>11127.2752</v>
      </c>
      <c r="L29" s="4">
        <v>58160.295899999997</v>
      </c>
      <c r="M29" s="4">
        <v>1540.9981</v>
      </c>
      <c r="N29" s="4">
        <v>1244.5341000000001</v>
      </c>
      <c r="O29" s="4">
        <v>296.464</v>
      </c>
      <c r="P29" s="4">
        <v>0</v>
      </c>
      <c r="Q29" s="4">
        <v>93.793400000000005</v>
      </c>
      <c r="R29" s="4">
        <v>93.793400000000005</v>
      </c>
      <c r="S29" s="4">
        <v>1201.5820000000001</v>
      </c>
      <c r="T29" s="4">
        <v>-3586.2235999999998</v>
      </c>
      <c r="U29" s="4">
        <v>91209.492400000003</v>
      </c>
      <c r="V29" s="4">
        <v>57261.425600000002</v>
      </c>
      <c r="W29" s="4">
        <v>11896.597299999999</v>
      </c>
      <c r="X29" s="4">
        <v>45364.828300000001</v>
      </c>
      <c r="Y29" s="4">
        <v>12615.6175</v>
      </c>
      <c r="Z29" s="4">
        <v>0</v>
      </c>
      <c r="AA29" s="4">
        <v>12615.6175</v>
      </c>
      <c r="AB29" s="4">
        <v>7398.1842999999999</v>
      </c>
      <c r="AC29" s="4">
        <v>2691.2707999999998</v>
      </c>
      <c r="AD29" s="4">
        <v>4706.9134999999997</v>
      </c>
      <c r="AE29" s="4">
        <v>11608.017099999999</v>
      </c>
      <c r="AF29" s="4">
        <v>8841.2968000000001</v>
      </c>
      <c r="AG29" s="4">
        <v>2766.7203</v>
      </c>
      <c r="AH29" s="4">
        <v>2326.2478999999998</v>
      </c>
    </row>
    <row r="30" spans="1:34" x14ac:dyDescent="0.2">
      <c r="A30" s="3">
        <v>39965</v>
      </c>
      <c r="B30" s="4">
        <v>86364.0481</v>
      </c>
      <c r="C30" s="4">
        <v>8065.3477000000003</v>
      </c>
      <c r="D30" s="4">
        <v>4528.8028999999997</v>
      </c>
      <c r="E30" s="4">
        <v>3536.5448000000001</v>
      </c>
      <c r="F30" s="5">
        <v>7877.3847999999998</v>
      </c>
      <c r="G30" s="4">
        <v>1500.9880000000001</v>
      </c>
      <c r="H30" s="4">
        <v>6376.3967000000002</v>
      </c>
      <c r="I30" s="4">
        <v>-3.8108</v>
      </c>
      <c r="J30" s="5">
        <v>67951.498999999996</v>
      </c>
      <c r="K30" s="4">
        <v>9131.1517999999996</v>
      </c>
      <c r="L30" s="4">
        <v>58820.347199999997</v>
      </c>
      <c r="M30" s="4">
        <v>1468.3397</v>
      </c>
      <c r="N30" s="4">
        <v>1254.654</v>
      </c>
      <c r="O30" s="4">
        <v>213.6857</v>
      </c>
      <c r="P30" s="4">
        <v>0</v>
      </c>
      <c r="Q30" s="4">
        <v>96.811899999999994</v>
      </c>
      <c r="R30" s="4">
        <v>96.811899999999994</v>
      </c>
      <c r="S30" s="4">
        <v>908.47590000000002</v>
      </c>
      <c r="T30" s="4">
        <v>-5049.5547999999999</v>
      </c>
      <c r="U30" s="4">
        <v>91413.602799999993</v>
      </c>
      <c r="V30" s="4">
        <v>56463.364800000003</v>
      </c>
      <c r="W30" s="4">
        <v>12239.148800000001</v>
      </c>
      <c r="X30" s="4">
        <v>44224.216099999998</v>
      </c>
      <c r="Y30" s="4">
        <v>12442.248100000001</v>
      </c>
      <c r="Z30" s="4">
        <v>0</v>
      </c>
      <c r="AA30" s="4">
        <v>12442.248100000001</v>
      </c>
      <c r="AB30" s="4">
        <v>7218.61</v>
      </c>
      <c r="AC30" s="4">
        <v>3279.0075999999999</v>
      </c>
      <c r="AD30" s="4">
        <v>3939.6024000000002</v>
      </c>
      <c r="AE30" s="4">
        <v>13382.064399999999</v>
      </c>
      <c r="AF30" s="4">
        <v>10547.515600000001</v>
      </c>
      <c r="AG30" s="4">
        <v>2834.5488</v>
      </c>
      <c r="AH30" s="4">
        <v>1907.3154999999999</v>
      </c>
    </row>
    <row r="31" spans="1:34" x14ac:dyDescent="0.2">
      <c r="A31" s="3">
        <v>40057</v>
      </c>
      <c r="B31" s="4">
        <v>88839.013300000006</v>
      </c>
      <c r="C31" s="4">
        <v>8695.5444000000007</v>
      </c>
      <c r="D31" s="4">
        <v>5290.6877999999997</v>
      </c>
      <c r="E31" s="4">
        <v>3404.8564999999999</v>
      </c>
      <c r="F31" s="5">
        <v>8928.4428000000007</v>
      </c>
      <c r="G31" s="4">
        <v>2735.2424000000001</v>
      </c>
      <c r="H31" s="4">
        <v>6193.2003999999997</v>
      </c>
      <c r="I31" s="4">
        <v>241.4983</v>
      </c>
      <c r="J31" s="5">
        <v>68447.708700000003</v>
      </c>
      <c r="K31" s="4">
        <v>8307.9781000000003</v>
      </c>
      <c r="L31" s="4">
        <v>60139.730600000003</v>
      </c>
      <c r="M31" s="4">
        <v>1564.2924</v>
      </c>
      <c r="N31" s="4">
        <v>1288.4155000000001</v>
      </c>
      <c r="O31" s="4">
        <v>275.87689999999998</v>
      </c>
      <c r="P31" s="4">
        <v>0</v>
      </c>
      <c r="Q31" s="4">
        <v>102.8507</v>
      </c>
      <c r="R31" s="4">
        <v>102.8507</v>
      </c>
      <c r="S31" s="4">
        <v>858.67610000000002</v>
      </c>
      <c r="T31" s="4">
        <v>-6950.9125999999997</v>
      </c>
      <c r="U31" s="4">
        <v>95789.926000000007</v>
      </c>
      <c r="V31" s="4">
        <v>56130.140800000001</v>
      </c>
      <c r="W31" s="4">
        <v>12722.7729</v>
      </c>
      <c r="X31" s="4">
        <v>43407.367899999997</v>
      </c>
      <c r="Y31" s="4">
        <v>13108.5767</v>
      </c>
      <c r="Z31" s="4">
        <v>0</v>
      </c>
      <c r="AA31" s="4">
        <v>13108.5767</v>
      </c>
      <c r="AB31" s="4">
        <v>9235.5645000000004</v>
      </c>
      <c r="AC31" s="4">
        <v>5387.9327000000003</v>
      </c>
      <c r="AD31" s="4">
        <v>3847.6318000000001</v>
      </c>
      <c r="AE31" s="4">
        <v>15567.1185</v>
      </c>
      <c r="AF31" s="4">
        <v>12615.890299999999</v>
      </c>
      <c r="AG31" s="4">
        <v>2951.2282</v>
      </c>
      <c r="AH31" s="4">
        <v>1748.5255</v>
      </c>
    </row>
    <row r="32" spans="1:34" x14ac:dyDescent="0.2">
      <c r="A32" s="3">
        <v>40148</v>
      </c>
      <c r="B32" s="4">
        <v>92794.688200000004</v>
      </c>
      <c r="C32" s="4">
        <v>10805.914500000001</v>
      </c>
      <c r="D32" s="4">
        <v>7004.1473999999998</v>
      </c>
      <c r="E32" s="4">
        <v>3801.7671</v>
      </c>
      <c r="F32" s="5">
        <v>9915.2284999999993</v>
      </c>
      <c r="G32" s="4">
        <v>3031.3501000000001</v>
      </c>
      <c r="H32" s="4">
        <v>6883.8783999999996</v>
      </c>
      <c r="I32" s="4">
        <v>53.054400000000001</v>
      </c>
      <c r="J32" s="5">
        <v>69755.730899999995</v>
      </c>
      <c r="K32" s="4">
        <v>7669.0357000000004</v>
      </c>
      <c r="L32" s="4">
        <v>62086.695200000002</v>
      </c>
      <c r="M32" s="4">
        <v>1222.8991000000001</v>
      </c>
      <c r="N32" s="4">
        <v>1052.2138</v>
      </c>
      <c r="O32" s="4">
        <v>170.68539999999999</v>
      </c>
      <c r="P32" s="4">
        <v>0</v>
      </c>
      <c r="Q32" s="4">
        <v>95.625399999999999</v>
      </c>
      <c r="R32" s="4">
        <v>95.625399999999999</v>
      </c>
      <c r="S32" s="4">
        <v>946.2355</v>
      </c>
      <c r="T32" s="4">
        <v>-6646.2129999999997</v>
      </c>
      <c r="U32" s="4">
        <v>99440.901100000003</v>
      </c>
      <c r="V32" s="4">
        <v>57581.215900000003</v>
      </c>
      <c r="W32" s="4">
        <v>14481.5952</v>
      </c>
      <c r="X32" s="4">
        <v>43099.620699999999</v>
      </c>
      <c r="Y32" s="4">
        <v>13033.502200000001</v>
      </c>
      <c r="Z32" s="4">
        <v>101.2054</v>
      </c>
      <c r="AA32" s="4">
        <v>12932.2968</v>
      </c>
      <c r="AB32" s="4">
        <v>11079.6571</v>
      </c>
      <c r="AC32" s="4">
        <v>6910.8020999999999</v>
      </c>
      <c r="AD32" s="4">
        <v>4168.8550999999998</v>
      </c>
      <c r="AE32" s="4">
        <v>15922.496300000001</v>
      </c>
      <c r="AF32" s="4">
        <v>13001.5769</v>
      </c>
      <c r="AG32" s="4">
        <v>2920.9194000000002</v>
      </c>
      <c r="AH32" s="4">
        <v>1824.0296000000001</v>
      </c>
    </row>
    <row r="33" spans="1:34" x14ac:dyDescent="0.2">
      <c r="A33" s="3">
        <v>40238</v>
      </c>
      <c r="B33" s="4">
        <v>93070.955600000001</v>
      </c>
      <c r="C33" s="4">
        <v>9508.7772000000004</v>
      </c>
      <c r="D33" s="4">
        <v>5453.2290999999996</v>
      </c>
      <c r="E33" s="4">
        <v>4055.5481</v>
      </c>
      <c r="F33" s="5">
        <v>9561.9948999999997</v>
      </c>
      <c r="G33" s="4">
        <v>2544.0821000000001</v>
      </c>
      <c r="H33" s="4">
        <v>7017.9128000000001</v>
      </c>
      <c r="I33" s="4">
        <v>255.70519999999999</v>
      </c>
      <c r="J33" s="5">
        <v>70393.594700000001</v>
      </c>
      <c r="K33" s="4">
        <v>8141.0150999999996</v>
      </c>
      <c r="L33" s="4">
        <v>62252.579599999997</v>
      </c>
      <c r="M33" s="4">
        <v>1422.6675</v>
      </c>
      <c r="N33" s="4">
        <v>1116.2556999999999</v>
      </c>
      <c r="O33" s="4">
        <v>306.41180000000003</v>
      </c>
      <c r="P33" s="4">
        <v>0</v>
      </c>
      <c r="Q33" s="4">
        <v>106.45569999999999</v>
      </c>
      <c r="R33" s="4">
        <v>106.45569999999999</v>
      </c>
      <c r="S33" s="4">
        <v>1821.7603999999999</v>
      </c>
      <c r="T33" s="4">
        <v>-8344.23</v>
      </c>
      <c r="U33" s="4">
        <v>101415.1856</v>
      </c>
      <c r="V33" s="4">
        <v>57931.351600000002</v>
      </c>
      <c r="W33" s="4">
        <v>14824.578799999999</v>
      </c>
      <c r="X33" s="4">
        <v>43106.772799999999</v>
      </c>
      <c r="Y33" s="4">
        <v>13065.312</v>
      </c>
      <c r="Z33" s="4">
        <v>0</v>
      </c>
      <c r="AA33" s="4">
        <v>13065.312</v>
      </c>
      <c r="AB33" s="4">
        <v>10665.441000000001</v>
      </c>
      <c r="AC33" s="4">
        <v>5783.0465000000004</v>
      </c>
      <c r="AD33" s="4">
        <v>4882.3945999999996</v>
      </c>
      <c r="AE33" s="4">
        <v>17587.976999999999</v>
      </c>
      <c r="AF33" s="4">
        <v>14593.857900000001</v>
      </c>
      <c r="AG33" s="4">
        <v>2994.1190999999999</v>
      </c>
      <c r="AH33" s="4">
        <v>2165.1041</v>
      </c>
    </row>
    <row r="34" spans="1:34" x14ac:dyDescent="0.2">
      <c r="A34" s="3">
        <v>40330</v>
      </c>
      <c r="B34" s="4">
        <v>94754.220100000006</v>
      </c>
      <c r="C34" s="4">
        <v>9759.5519000000004</v>
      </c>
      <c r="D34" s="4">
        <v>6187.3881000000001</v>
      </c>
      <c r="E34" s="4">
        <v>3572.1637999999998</v>
      </c>
      <c r="F34" s="5">
        <v>8379.9393</v>
      </c>
      <c r="G34" s="4">
        <v>1415.2163</v>
      </c>
      <c r="H34" s="4">
        <v>6964.7231000000002</v>
      </c>
      <c r="I34" s="4">
        <v>507.9699</v>
      </c>
      <c r="J34" s="5">
        <v>72553.869399999996</v>
      </c>
      <c r="K34" s="4">
        <v>8717.3243999999995</v>
      </c>
      <c r="L34" s="4">
        <v>63836.544999999998</v>
      </c>
      <c r="M34" s="4">
        <v>1365.4866999999999</v>
      </c>
      <c r="N34" s="4">
        <v>1097.9744000000001</v>
      </c>
      <c r="O34" s="4">
        <v>267.51229999999998</v>
      </c>
      <c r="P34" s="4">
        <v>0</v>
      </c>
      <c r="Q34" s="4">
        <v>158.2724</v>
      </c>
      <c r="R34" s="4">
        <v>158.2724</v>
      </c>
      <c r="S34" s="4">
        <v>2029.1305</v>
      </c>
      <c r="T34" s="4">
        <v>-10083.672699999999</v>
      </c>
      <c r="U34" s="4">
        <v>104837.8928</v>
      </c>
      <c r="V34" s="4">
        <v>60122.306299999997</v>
      </c>
      <c r="W34" s="4">
        <v>15865.7158</v>
      </c>
      <c r="X34" s="4">
        <v>44256.590400000001</v>
      </c>
      <c r="Y34" s="4">
        <v>14269.1389</v>
      </c>
      <c r="Z34" s="4">
        <v>0</v>
      </c>
      <c r="AA34" s="4">
        <v>14269.1389</v>
      </c>
      <c r="AB34" s="4">
        <v>9496.9387999999999</v>
      </c>
      <c r="AC34" s="4">
        <v>4525.8391000000001</v>
      </c>
      <c r="AD34" s="4">
        <v>4971.0996999999998</v>
      </c>
      <c r="AE34" s="4">
        <v>18689.5242</v>
      </c>
      <c r="AF34" s="4">
        <v>15721.017900000001</v>
      </c>
      <c r="AG34" s="4">
        <v>2968.5063</v>
      </c>
      <c r="AH34" s="4">
        <v>2259.9847</v>
      </c>
    </row>
    <row r="35" spans="1:34" x14ac:dyDescent="0.2">
      <c r="A35" s="3">
        <v>40422</v>
      </c>
      <c r="B35" s="4">
        <v>95693.701799999995</v>
      </c>
      <c r="C35" s="4">
        <v>8642.6903000000002</v>
      </c>
      <c r="D35" s="4">
        <v>5192.7781000000004</v>
      </c>
      <c r="E35" s="4">
        <v>3449.9122000000002</v>
      </c>
      <c r="F35" s="5">
        <v>8166.7165999999997</v>
      </c>
      <c r="G35" s="4">
        <v>1657.4157</v>
      </c>
      <c r="H35" s="4">
        <v>6509.3009000000002</v>
      </c>
      <c r="I35" s="4">
        <v>-142.70869999999999</v>
      </c>
      <c r="J35" s="5">
        <v>73999.2405</v>
      </c>
      <c r="K35" s="4">
        <v>9047.0007000000005</v>
      </c>
      <c r="L35" s="4">
        <v>64952.2399</v>
      </c>
      <c r="M35" s="4">
        <v>1302.0805</v>
      </c>
      <c r="N35" s="4">
        <v>1193.5014000000001</v>
      </c>
      <c r="O35" s="4">
        <v>108.5791</v>
      </c>
      <c r="P35" s="4">
        <v>0</v>
      </c>
      <c r="Q35" s="4">
        <v>165.3152</v>
      </c>
      <c r="R35" s="4">
        <v>165.3152</v>
      </c>
      <c r="S35" s="4">
        <v>3560.3672999999999</v>
      </c>
      <c r="T35" s="4">
        <v>-14106.2736</v>
      </c>
      <c r="U35" s="4">
        <v>109799.9754</v>
      </c>
      <c r="V35" s="4">
        <v>59860.255700000002</v>
      </c>
      <c r="W35" s="4">
        <v>15754.9949</v>
      </c>
      <c r="X35" s="4">
        <v>44105.260799999996</v>
      </c>
      <c r="Y35" s="4">
        <v>15882.9532</v>
      </c>
      <c r="Z35" s="4">
        <v>97.150300000000001</v>
      </c>
      <c r="AA35" s="4">
        <v>15785.802900000001</v>
      </c>
      <c r="AB35" s="4">
        <v>8336.5931</v>
      </c>
      <c r="AC35" s="4">
        <v>3526.3092999999999</v>
      </c>
      <c r="AD35" s="4">
        <v>4810.2838000000002</v>
      </c>
      <c r="AE35" s="4">
        <v>23198.935600000001</v>
      </c>
      <c r="AF35" s="4">
        <v>20165.0517</v>
      </c>
      <c r="AG35" s="4">
        <v>3033.8838999999998</v>
      </c>
      <c r="AH35" s="4">
        <v>2521.2379000000001</v>
      </c>
    </row>
    <row r="36" spans="1:34" x14ac:dyDescent="0.2">
      <c r="A36" s="3">
        <v>40513</v>
      </c>
      <c r="B36" s="4">
        <v>98333.923500000004</v>
      </c>
      <c r="C36" s="4">
        <v>11041.791800000001</v>
      </c>
      <c r="D36" s="4">
        <v>6241.2466999999997</v>
      </c>
      <c r="E36" s="4">
        <v>4800.5451000000003</v>
      </c>
      <c r="F36" s="5">
        <v>7749.4207999999999</v>
      </c>
      <c r="G36" s="4">
        <v>1117.3969999999999</v>
      </c>
      <c r="H36" s="4">
        <v>6632.0239000000001</v>
      </c>
      <c r="I36" s="4">
        <v>-135.06639999999999</v>
      </c>
      <c r="J36" s="5">
        <v>75719.398799999995</v>
      </c>
      <c r="K36" s="4">
        <v>8893.2155999999995</v>
      </c>
      <c r="L36" s="4">
        <v>66826.183199999999</v>
      </c>
      <c r="M36" s="4">
        <v>1422.366</v>
      </c>
      <c r="N36" s="4">
        <v>1271.3085000000001</v>
      </c>
      <c r="O36" s="4">
        <v>151.0575</v>
      </c>
      <c r="P36" s="4">
        <v>0</v>
      </c>
      <c r="Q36" s="4">
        <v>152.32149999999999</v>
      </c>
      <c r="R36" s="4">
        <v>152.32149999999999</v>
      </c>
      <c r="S36" s="4">
        <v>2383.6912000000002</v>
      </c>
      <c r="T36" s="4">
        <v>-13672.557699999999</v>
      </c>
      <c r="U36" s="4">
        <v>112006.4813</v>
      </c>
      <c r="V36" s="4">
        <v>63353.771099999998</v>
      </c>
      <c r="W36" s="4">
        <v>17474.8976</v>
      </c>
      <c r="X36" s="4">
        <v>45878.873500000002</v>
      </c>
      <c r="Y36" s="4">
        <v>15926.0527</v>
      </c>
      <c r="Z36" s="4">
        <v>177.27250000000001</v>
      </c>
      <c r="AA36" s="4">
        <v>15748.780199999999</v>
      </c>
      <c r="AB36" s="4">
        <v>7481.7419</v>
      </c>
      <c r="AC36" s="4">
        <v>2634.3489</v>
      </c>
      <c r="AD36" s="4">
        <v>4847.393</v>
      </c>
      <c r="AE36" s="4">
        <v>23195.592199999999</v>
      </c>
      <c r="AF36" s="4">
        <v>20188.479899999998</v>
      </c>
      <c r="AG36" s="4">
        <v>3007.1122999999998</v>
      </c>
      <c r="AH36" s="4">
        <v>2049.3234000000002</v>
      </c>
    </row>
    <row r="37" spans="1:34" x14ac:dyDescent="0.2">
      <c r="A37" s="3">
        <v>40603</v>
      </c>
      <c r="B37" s="4">
        <v>103007.73149999999</v>
      </c>
      <c r="C37" s="4">
        <v>10938.8539</v>
      </c>
      <c r="D37" s="4">
        <v>6708.9546</v>
      </c>
      <c r="E37" s="4">
        <v>4229.8993</v>
      </c>
      <c r="F37" s="5">
        <v>8614.6268</v>
      </c>
      <c r="G37" s="4">
        <v>2111.2851000000001</v>
      </c>
      <c r="H37" s="4">
        <v>6503.3416999999999</v>
      </c>
      <c r="I37" s="4">
        <v>174.84110000000001</v>
      </c>
      <c r="J37" s="5">
        <v>78447.638200000001</v>
      </c>
      <c r="K37" s="4">
        <v>10075.626099999999</v>
      </c>
      <c r="L37" s="4">
        <v>68372.012000000002</v>
      </c>
      <c r="M37" s="4">
        <v>1479.4356</v>
      </c>
      <c r="N37" s="4">
        <v>1289.1400000000001</v>
      </c>
      <c r="O37" s="4">
        <v>190.29560000000001</v>
      </c>
      <c r="P37" s="4">
        <v>0</v>
      </c>
      <c r="Q37" s="4">
        <v>143.3715</v>
      </c>
      <c r="R37" s="4">
        <v>143.3715</v>
      </c>
      <c r="S37" s="4">
        <v>3208.9645</v>
      </c>
      <c r="T37" s="4">
        <v>-12829.240299999999</v>
      </c>
      <c r="U37" s="4">
        <v>115836.9718</v>
      </c>
      <c r="V37" s="4">
        <v>65574.764299999995</v>
      </c>
      <c r="W37" s="4">
        <v>17179.0272</v>
      </c>
      <c r="X37" s="4">
        <v>48395.737200000003</v>
      </c>
      <c r="Y37" s="4">
        <v>16558.6666</v>
      </c>
      <c r="Z37" s="4">
        <v>101.2796</v>
      </c>
      <c r="AA37" s="4">
        <v>16457.3871</v>
      </c>
      <c r="AB37" s="4">
        <v>8702.3417000000009</v>
      </c>
      <c r="AC37" s="4">
        <v>3242.9548</v>
      </c>
      <c r="AD37" s="4">
        <v>5459.3869000000004</v>
      </c>
      <c r="AE37" s="4">
        <v>22256.906599999998</v>
      </c>
      <c r="AF37" s="4">
        <v>19174.142899999999</v>
      </c>
      <c r="AG37" s="4">
        <v>3082.7637</v>
      </c>
      <c r="AH37" s="4">
        <v>2744.2925</v>
      </c>
    </row>
    <row r="38" spans="1:34" x14ac:dyDescent="0.2">
      <c r="A38" s="3">
        <v>40695</v>
      </c>
      <c r="B38" s="4">
        <v>107101.1692</v>
      </c>
      <c r="C38" s="4">
        <v>10387.3156</v>
      </c>
      <c r="D38" s="4">
        <v>6023.8615</v>
      </c>
      <c r="E38" s="4">
        <v>4363.4540999999999</v>
      </c>
      <c r="F38" s="5">
        <v>9886.9272999999994</v>
      </c>
      <c r="G38" s="4">
        <v>2345.2181999999998</v>
      </c>
      <c r="H38" s="4">
        <v>7541.7091</v>
      </c>
      <c r="I38" s="4">
        <v>152.56270000000001</v>
      </c>
      <c r="J38" s="5">
        <v>81918.510200000004</v>
      </c>
      <c r="K38" s="4">
        <v>10838.132600000001</v>
      </c>
      <c r="L38" s="4">
        <v>71080.377600000007</v>
      </c>
      <c r="M38" s="4">
        <v>1428.2674</v>
      </c>
      <c r="N38" s="4">
        <v>1298.4788000000001</v>
      </c>
      <c r="O38" s="4">
        <v>129.78870000000001</v>
      </c>
      <c r="P38" s="4">
        <v>0</v>
      </c>
      <c r="Q38" s="4">
        <v>143.67429999999999</v>
      </c>
      <c r="R38" s="4">
        <v>143.67429999999999</v>
      </c>
      <c r="S38" s="4">
        <v>3183.9117000000001</v>
      </c>
      <c r="T38" s="4">
        <v>-13457.0578</v>
      </c>
      <c r="U38" s="4">
        <v>120558.227</v>
      </c>
      <c r="V38" s="4">
        <v>67875.348299999998</v>
      </c>
      <c r="W38" s="4">
        <v>17629.108899999999</v>
      </c>
      <c r="X38" s="4">
        <v>50246.239399999999</v>
      </c>
      <c r="Y38" s="4">
        <v>17169.764899999998</v>
      </c>
      <c r="Z38" s="4">
        <v>94.225999999999999</v>
      </c>
      <c r="AA38" s="4">
        <v>17075.5389</v>
      </c>
      <c r="AB38" s="4">
        <v>9416.1134999999995</v>
      </c>
      <c r="AC38" s="4">
        <v>3554.4112</v>
      </c>
      <c r="AD38" s="4">
        <v>5861.7022999999999</v>
      </c>
      <c r="AE38" s="4">
        <v>23260.5157</v>
      </c>
      <c r="AF38" s="4">
        <v>20155.051899999999</v>
      </c>
      <c r="AG38" s="4">
        <v>3105.4638</v>
      </c>
      <c r="AH38" s="4">
        <v>2836.4845999999998</v>
      </c>
    </row>
    <row r="39" spans="1:34" x14ac:dyDescent="0.2">
      <c r="A39" s="3">
        <v>40787</v>
      </c>
      <c r="B39" s="4">
        <v>111953.033</v>
      </c>
      <c r="C39" s="4">
        <v>11670.1489</v>
      </c>
      <c r="D39" s="4">
        <v>7513.7894999999999</v>
      </c>
      <c r="E39" s="4">
        <v>4156.3594000000003</v>
      </c>
      <c r="F39" s="5">
        <v>8681.0331000000006</v>
      </c>
      <c r="G39" s="4">
        <v>2636.8978999999999</v>
      </c>
      <c r="H39" s="4">
        <v>6044.1351999999997</v>
      </c>
      <c r="I39" s="4">
        <v>697.65650000000005</v>
      </c>
      <c r="J39" s="5">
        <v>85507.051000000007</v>
      </c>
      <c r="K39" s="4">
        <v>11936.685799999999</v>
      </c>
      <c r="L39" s="4">
        <v>73570.3652</v>
      </c>
      <c r="M39" s="4">
        <v>1584.4177</v>
      </c>
      <c r="N39" s="4">
        <v>1379.5983000000001</v>
      </c>
      <c r="O39" s="4">
        <v>204.81950000000001</v>
      </c>
      <c r="P39" s="4">
        <v>0</v>
      </c>
      <c r="Q39" s="4">
        <v>143.2841</v>
      </c>
      <c r="R39" s="4">
        <v>143.2841</v>
      </c>
      <c r="S39" s="4">
        <v>3669.4416999999999</v>
      </c>
      <c r="T39" s="4">
        <v>-10688.006299999999</v>
      </c>
      <c r="U39" s="4">
        <v>122641.0393</v>
      </c>
      <c r="V39" s="4">
        <v>71180.596699999995</v>
      </c>
      <c r="W39" s="4">
        <v>17743.3338</v>
      </c>
      <c r="X39" s="4">
        <v>53437.262900000002</v>
      </c>
      <c r="Y39" s="4">
        <v>17921.301500000001</v>
      </c>
      <c r="Z39" s="4">
        <v>0</v>
      </c>
      <c r="AA39" s="4">
        <v>17921.301500000001</v>
      </c>
      <c r="AB39" s="4">
        <v>10008.9041</v>
      </c>
      <c r="AC39" s="4">
        <v>3387.0756999999999</v>
      </c>
      <c r="AD39" s="4">
        <v>6621.8284000000003</v>
      </c>
      <c r="AE39" s="4">
        <v>20957.4031</v>
      </c>
      <c r="AF39" s="4">
        <v>17667.173900000002</v>
      </c>
      <c r="AG39" s="4">
        <v>3290.2292000000002</v>
      </c>
      <c r="AH39" s="4">
        <v>2572.8339999999998</v>
      </c>
    </row>
    <row r="40" spans="1:34" x14ac:dyDescent="0.2">
      <c r="A40" s="3">
        <v>40878</v>
      </c>
      <c r="B40" s="4">
        <v>117730.0021</v>
      </c>
      <c r="C40" s="4">
        <v>15744.5607</v>
      </c>
      <c r="D40" s="4">
        <v>9886.0835000000006</v>
      </c>
      <c r="E40" s="4">
        <v>5858.4772000000003</v>
      </c>
      <c r="F40" s="5">
        <v>8050.4660999999996</v>
      </c>
      <c r="G40" s="4">
        <v>869.17499999999995</v>
      </c>
      <c r="H40" s="4">
        <v>7181.2911000000004</v>
      </c>
      <c r="I40" s="4">
        <v>471.74520000000001</v>
      </c>
      <c r="J40" s="5">
        <v>88279.498000000007</v>
      </c>
      <c r="K40" s="4">
        <v>11709.9642</v>
      </c>
      <c r="L40" s="4">
        <v>76569.533800000005</v>
      </c>
      <c r="M40" s="4">
        <v>1570.0050000000001</v>
      </c>
      <c r="N40" s="4">
        <v>1417.1197</v>
      </c>
      <c r="O40" s="4">
        <v>152.8854</v>
      </c>
      <c r="P40" s="4">
        <v>0</v>
      </c>
      <c r="Q40" s="4">
        <v>152.8972</v>
      </c>
      <c r="R40" s="4">
        <v>152.8972</v>
      </c>
      <c r="S40" s="4">
        <v>3460.8299000000002</v>
      </c>
      <c r="T40" s="4">
        <v>-11233.850399999999</v>
      </c>
      <c r="U40" s="4">
        <v>128963.85249999999</v>
      </c>
      <c r="V40" s="4">
        <v>75428.126999999993</v>
      </c>
      <c r="W40" s="4">
        <v>19810.526999999998</v>
      </c>
      <c r="X40" s="4">
        <v>55617.599900000001</v>
      </c>
      <c r="Y40" s="4">
        <v>17878.88</v>
      </c>
      <c r="Z40" s="4">
        <v>70.556100000000001</v>
      </c>
      <c r="AA40" s="4">
        <v>17808.324000000001</v>
      </c>
      <c r="AB40" s="4">
        <v>11077.921200000001</v>
      </c>
      <c r="AC40" s="4">
        <v>4547.9781999999996</v>
      </c>
      <c r="AD40" s="4">
        <v>6529.9430000000002</v>
      </c>
      <c r="AE40" s="4">
        <v>22359.247200000002</v>
      </c>
      <c r="AF40" s="4">
        <v>19008.589899999999</v>
      </c>
      <c r="AG40" s="4">
        <v>3350.6572999999999</v>
      </c>
      <c r="AH40" s="4">
        <v>2219.6770999999999</v>
      </c>
    </row>
    <row r="41" spans="1:34" x14ac:dyDescent="0.2">
      <c r="A41" s="3">
        <v>40969</v>
      </c>
      <c r="B41" s="4">
        <v>117677.45299999999</v>
      </c>
      <c r="C41" s="4">
        <v>11800.309499999999</v>
      </c>
      <c r="D41" s="4">
        <v>7189.1203999999998</v>
      </c>
      <c r="E41" s="4">
        <v>4611.1890999999996</v>
      </c>
      <c r="F41" s="5">
        <v>9338.8364999999994</v>
      </c>
      <c r="G41" s="4">
        <v>2247.9281000000001</v>
      </c>
      <c r="H41" s="4">
        <v>7090.9084000000003</v>
      </c>
      <c r="I41" s="4">
        <v>250.5985</v>
      </c>
      <c r="J41" s="5">
        <v>90633.685599999997</v>
      </c>
      <c r="K41" s="4">
        <v>11588.1813</v>
      </c>
      <c r="L41" s="4">
        <v>79045.504300000001</v>
      </c>
      <c r="M41" s="4">
        <v>1470.8619000000001</v>
      </c>
      <c r="N41" s="4">
        <v>1428.5554</v>
      </c>
      <c r="O41" s="4">
        <v>42.306600000000003</v>
      </c>
      <c r="P41" s="4">
        <v>0</v>
      </c>
      <c r="Q41" s="4">
        <v>154.5694</v>
      </c>
      <c r="R41" s="4">
        <v>154.5694</v>
      </c>
      <c r="S41" s="4">
        <v>4028.5915</v>
      </c>
      <c r="T41" s="4">
        <v>-12947.6155</v>
      </c>
      <c r="U41" s="4">
        <v>130625.06849999999</v>
      </c>
      <c r="V41" s="4">
        <v>75673.282699999996</v>
      </c>
      <c r="W41" s="4">
        <v>19486.784500000002</v>
      </c>
      <c r="X41" s="4">
        <v>56186.498200000002</v>
      </c>
      <c r="Y41" s="4">
        <v>18924.47</v>
      </c>
      <c r="Z41" s="4">
        <v>685.79859999999996</v>
      </c>
      <c r="AA41" s="4">
        <v>18238.671399999999</v>
      </c>
      <c r="AB41" s="4">
        <v>9568.0419000000002</v>
      </c>
      <c r="AC41" s="4">
        <v>3701.549</v>
      </c>
      <c r="AD41" s="4">
        <v>5866.4929000000002</v>
      </c>
      <c r="AE41" s="4">
        <v>23952.6044</v>
      </c>
      <c r="AF41" s="4">
        <v>20556.690200000001</v>
      </c>
      <c r="AG41" s="4">
        <v>3395.9142000000002</v>
      </c>
      <c r="AH41" s="4">
        <v>2506.6695</v>
      </c>
    </row>
    <row r="42" spans="1:34" x14ac:dyDescent="0.2">
      <c r="A42" s="3">
        <v>41061</v>
      </c>
      <c r="B42" s="4">
        <v>123991.9541</v>
      </c>
      <c r="C42" s="4">
        <v>13827.4352</v>
      </c>
      <c r="D42" s="4">
        <v>7865.2851000000001</v>
      </c>
      <c r="E42" s="4">
        <v>5962.1500999999998</v>
      </c>
      <c r="F42" s="5">
        <v>8314.9583999999995</v>
      </c>
      <c r="G42" s="4">
        <v>931.43200000000002</v>
      </c>
      <c r="H42" s="4">
        <v>7383.5263999999997</v>
      </c>
      <c r="I42" s="4">
        <v>326.36239999999998</v>
      </c>
      <c r="J42" s="5">
        <v>94477.441200000001</v>
      </c>
      <c r="K42" s="4">
        <v>12405.495199999999</v>
      </c>
      <c r="L42" s="4">
        <v>82071.945999999996</v>
      </c>
      <c r="M42" s="4">
        <v>2425.1100999999999</v>
      </c>
      <c r="N42" s="4">
        <v>2088.4252999999999</v>
      </c>
      <c r="O42" s="4">
        <v>336.6848</v>
      </c>
      <c r="P42" s="4">
        <v>0</v>
      </c>
      <c r="Q42" s="4">
        <v>163.02330000000001</v>
      </c>
      <c r="R42" s="4">
        <v>163.02330000000001</v>
      </c>
      <c r="S42" s="4">
        <v>4457.6234999999997</v>
      </c>
      <c r="T42" s="4">
        <v>-11772.429400000001</v>
      </c>
      <c r="U42" s="4">
        <v>135764.38339999999</v>
      </c>
      <c r="V42" s="4">
        <v>79439.997900000002</v>
      </c>
      <c r="W42" s="4">
        <v>19598.565500000001</v>
      </c>
      <c r="X42" s="4">
        <v>59841.4323</v>
      </c>
      <c r="Y42" s="4">
        <v>19667.2984</v>
      </c>
      <c r="Z42" s="4">
        <v>1082.6478</v>
      </c>
      <c r="AA42" s="4">
        <v>18584.6505</v>
      </c>
      <c r="AB42" s="4">
        <v>10233.1003</v>
      </c>
      <c r="AC42" s="4">
        <v>4297.9906000000001</v>
      </c>
      <c r="AD42" s="4">
        <v>5935.1097</v>
      </c>
      <c r="AE42" s="4">
        <v>23447.813600000001</v>
      </c>
      <c r="AF42" s="4">
        <v>19999.152999999998</v>
      </c>
      <c r="AG42" s="4">
        <v>3448.6606000000002</v>
      </c>
      <c r="AH42" s="4">
        <v>2976.1734000000001</v>
      </c>
    </row>
    <row r="43" spans="1:34" x14ac:dyDescent="0.2">
      <c r="A43" s="3">
        <v>41153</v>
      </c>
      <c r="B43" s="4">
        <v>124434.2712</v>
      </c>
      <c r="C43" s="4">
        <v>13578.012699999999</v>
      </c>
      <c r="D43" s="4">
        <v>7742.6544000000004</v>
      </c>
      <c r="E43" s="4">
        <v>5835.3582999999999</v>
      </c>
      <c r="F43" s="5">
        <v>8257.5362999999998</v>
      </c>
      <c r="G43" s="4">
        <v>694.755</v>
      </c>
      <c r="H43" s="4">
        <v>7562.7812999999996</v>
      </c>
      <c r="I43" s="4">
        <v>189.92679999999999</v>
      </c>
      <c r="J43" s="5">
        <v>96012.899099999995</v>
      </c>
      <c r="K43" s="4">
        <v>12936.336799999999</v>
      </c>
      <c r="L43" s="4">
        <v>83076.562300000005</v>
      </c>
      <c r="M43" s="4">
        <v>2346.2905000000001</v>
      </c>
      <c r="N43" s="4">
        <v>2082.2856000000002</v>
      </c>
      <c r="O43" s="4">
        <v>264.00479999999999</v>
      </c>
      <c r="P43" s="4">
        <v>0</v>
      </c>
      <c r="Q43" s="4">
        <v>161.0624</v>
      </c>
      <c r="R43" s="4">
        <v>161.0624</v>
      </c>
      <c r="S43" s="4">
        <v>3888.5435000000002</v>
      </c>
      <c r="T43" s="4">
        <v>-10261.4629</v>
      </c>
      <c r="U43" s="4">
        <v>134695.7341</v>
      </c>
      <c r="V43" s="4">
        <v>80668.738800000006</v>
      </c>
      <c r="W43" s="4">
        <v>19430.388500000001</v>
      </c>
      <c r="X43" s="4">
        <v>61238.350200000001</v>
      </c>
      <c r="Y43" s="4">
        <v>20390.788700000001</v>
      </c>
      <c r="Z43" s="4">
        <v>982.97</v>
      </c>
      <c r="AA43" s="4">
        <v>19407.8187</v>
      </c>
      <c r="AB43" s="4">
        <v>8359.0730999999996</v>
      </c>
      <c r="AC43" s="4">
        <v>3206.5927000000001</v>
      </c>
      <c r="AD43" s="4">
        <v>5152.4804000000004</v>
      </c>
      <c r="AE43" s="4">
        <v>22248.580399999999</v>
      </c>
      <c r="AF43" s="4">
        <v>18632.41</v>
      </c>
      <c r="AG43" s="4">
        <v>3616.1704</v>
      </c>
      <c r="AH43" s="4">
        <v>3028.5531000000001</v>
      </c>
    </row>
    <row r="44" spans="1:34" x14ac:dyDescent="0.2">
      <c r="A44" s="3">
        <v>41244</v>
      </c>
      <c r="B44" s="4">
        <v>129020.1701</v>
      </c>
      <c r="C44" s="4">
        <v>16301.063399999999</v>
      </c>
      <c r="D44" s="4">
        <v>9756.2870000000003</v>
      </c>
      <c r="E44" s="4">
        <v>6544.7763999999997</v>
      </c>
      <c r="F44" s="5">
        <v>7522.2537000000002</v>
      </c>
      <c r="G44" s="4">
        <v>21.159500000000001</v>
      </c>
      <c r="H44" s="4">
        <v>7501.0941999999995</v>
      </c>
      <c r="I44" s="4">
        <v>239.7371</v>
      </c>
      <c r="J44" s="5">
        <v>98738.565199999997</v>
      </c>
      <c r="K44" s="4">
        <v>12587.2898</v>
      </c>
      <c r="L44" s="4">
        <v>86151.275399999999</v>
      </c>
      <c r="M44" s="4">
        <v>2408.4661000000001</v>
      </c>
      <c r="N44" s="4">
        <v>2132.6880999999998</v>
      </c>
      <c r="O44" s="4">
        <v>275.77809999999999</v>
      </c>
      <c r="P44" s="4">
        <v>0</v>
      </c>
      <c r="Q44" s="4">
        <v>163.25489999999999</v>
      </c>
      <c r="R44" s="4">
        <v>163.25489999999999</v>
      </c>
      <c r="S44" s="4">
        <v>3646.8294999999998</v>
      </c>
      <c r="T44" s="4">
        <v>-11128.678900000001</v>
      </c>
      <c r="U44" s="4">
        <v>140148.84899999999</v>
      </c>
      <c r="V44" s="4">
        <v>82902.070500000002</v>
      </c>
      <c r="W44" s="4">
        <v>22537.128799999999</v>
      </c>
      <c r="X44" s="4">
        <v>60364.941700000003</v>
      </c>
      <c r="Y44" s="4">
        <v>20763.652600000001</v>
      </c>
      <c r="Z44" s="4">
        <v>582.66510000000005</v>
      </c>
      <c r="AA44" s="4">
        <v>20180.987400000002</v>
      </c>
      <c r="AB44" s="4">
        <v>9633.4760999999999</v>
      </c>
      <c r="AC44" s="4">
        <v>4820.0246999999999</v>
      </c>
      <c r="AD44" s="4">
        <v>4813.4515000000001</v>
      </c>
      <c r="AE44" s="4">
        <v>23968.118299999998</v>
      </c>
      <c r="AF44" s="4">
        <v>20167.725999999999</v>
      </c>
      <c r="AG44" s="4">
        <v>3800.3923</v>
      </c>
      <c r="AH44" s="4">
        <v>2881.5315999999998</v>
      </c>
    </row>
    <row r="45" spans="1:34" x14ac:dyDescent="0.2">
      <c r="A45" s="3">
        <v>41334</v>
      </c>
      <c r="B45" s="4">
        <v>129254.0814</v>
      </c>
      <c r="C45" s="4">
        <v>13558.863799999999</v>
      </c>
      <c r="D45" s="4">
        <v>7674.6315000000004</v>
      </c>
      <c r="E45" s="4">
        <v>5884.2322999999997</v>
      </c>
      <c r="F45" s="5">
        <v>8630.0766000000003</v>
      </c>
      <c r="G45" s="4">
        <v>1131.8529000000001</v>
      </c>
      <c r="H45" s="4">
        <v>7498.2236999999996</v>
      </c>
      <c r="I45" s="4">
        <v>232.79689999999999</v>
      </c>
      <c r="J45" s="5">
        <v>100446.334</v>
      </c>
      <c r="K45" s="4">
        <v>12933.010399999999</v>
      </c>
      <c r="L45" s="4">
        <v>87513.323600000003</v>
      </c>
      <c r="M45" s="4">
        <v>2551.6916000000001</v>
      </c>
      <c r="N45" s="4">
        <v>2137.5720000000001</v>
      </c>
      <c r="O45" s="4">
        <v>414.11959999999999</v>
      </c>
      <c r="P45" s="4">
        <v>0</v>
      </c>
      <c r="Q45" s="4">
        <v>166.1437</v>
      </c>
      <c r="R45" s="4">
        <v>166.1437</v>
      </c>
      <c r="S45" s="4">
        <v>3668.1749</v>
      </c>
      <c r="T45" s="4">
        <v>-10790.981100000001</v>
      </c>
      <c r="U45" s="4">
        <v>140045.0625</v>
      </c>
      <c r="V45" s="4">
        <v>82804.613100000002</v>
      </c>
      <c r="W45" s="4">
        <v>21141.615300000001</v>
      </c>
      <c r="X45" s="4">
        <v>61662.997900000002</v>
      </c>
      <c r="Y45" s="4">
        <v>21757.344300000001</v>
      </c>
      <c r="Z45" s="4">
        <v>392.91539999999998</v>
      </c>
      <c r="AA45" s="4">
        <v>21364.428899999999</v>
      </c>
      <c r="AB45" s="4">
        <v>8256.7446999999993</v>
      </c>
      <c r="AC45" s="4">
        <v>3336.4994999999999</v>
      </c>
      <c r="AD45" s="4">
        <v>4920.2452000000003</v>
      </c>
      <c r="AE45" s="4">
        <v>24086.4869</v>
      </c>
      <c r="AF45" s="4">
        <v>20296.430799999998</v>
      </c>
      <c r="AG45" s="4">
        <v>3790.0560999999998</v>
      </c>
      <c r="AH45" s="4">
        <v>3139.8735000000001</v>
      </c>
    </row>
    <row r="46" spans="1:34" x14ac:dyDescent="0.2">
      <c r="A46" s="3">
        <v>41426</v>
      </c>
      <c r="B46" s="4">
        <v>133297.22330000001</v>
      </c>
      <c r="C46" s="4">
        <v>14018.9512</v>
      </c>
      <c r="D46" s="4">
        <v>8255.9861999999994</v>
      </c>
      <c r="E46" s="4">
        <v>5762.9648999999999</v>
      </c>
      <c r="F46" s="5">
        <v>7920.6590999999999</v>
      </c>
      <c r="G46" s="4">
        <v>1188.5050000000001</v>
      </c>
      <c r="H46" s="4">
        <v>6732.1540999999997</v>
      </c>
      <c r="I46" s="4">
        <v>310.26900000000001</v>
      </c>
      <c r="J46" s="5">
        <v>103966.91190000001</v>
      </c>
      <c r="K46" s="4">
        <v>14387.8861</v>
      </c>
      <c r="L46" s="4">
        <v>89579.025800000003</v>
      </c>
      <c r="M46" s="4">
        <v>2293.9955</v>
      </c>
      <c r="N46" s="4">
        <v>2147.0155</v>
      </c>
      <c r="O46" s="4">
        <v>146.97999999999999</v>
      </c>
      <c r="P46" s="4">
        <v>0</v>
      </c>
      <c r="Q46" s="4">
        <v>171.57419999999999</v>
      </c>
      <c r="R46" s="4">
        <v>171.57419999999999</v>
      </c>
      <c r="S46" s="4">
        <v>4614.8624</v>
      </c>
      <c r="T46" s="4">
        <v>-10275.223900000001</v>
      </c>
      <c r="U46" s="4">
        <v>143572.4472</v>
      </c>
      <c r="V46" s="4">
        <v>86062.002900000007</v>
      </c>
      <c r="W46" s="4">
        <v>22097.807499999999</v>
      </c>
      <c r="X46" s="4">
        <v>63964.195399999997</v>
      </c>
      <c r="Y46" s="4">
        <v>22779.174999999999</v>
      </c>
      <c r="Z46" s="4">
        <v>293.90289999999999</v>
      </c>
      <c r="AA46" s="4">
        <v>22485.272000000001</v>
      </c>
      <c r="AB46" s="4">
        <v>8539.7805000000008</v>
      </c>
      <c r="AC46" s="4">
        <v>3553.9776000000002</v>
      </c>
      <c r="AD46" s="4">
        <v>4985.8028999999997</v>
      </c>
      <c r="AE46" s="4">
        <v>23262.221600000001</v>
      </c>
      <c r="AF46" s="4">
        <v>19464.338800000001</v>
      </c>
      <c r="AG46" s="4">
        <v>3797.8827999999999</v>
      </c>
      <c r="AH46" s="4">
        <v>2929.2671999999998</v>
      </c>
    </row>
    <row r="47" spans="1:34" x14ac:dyDescent="0.2">
      <c r="A47" s="3">
        <v>41518</v>
      </c>
      <c r="B47" s="4">
        <v>134745.77780000001</v>
      </c>
      <c r="C47" s="4">
        <v>14730.466399999999</v>
      </c>
      <c r="D47" s="4">
        <v>8155.7016000000003</v>
      </c>
      <c r="E47" s="4">
        <v>6574.7647999999999</v>
      </c>
      <c r="F47" s="5">
        <v>6977.4273999999996</v>
      </c>
      <c r="G47" s="4">
        <v>686.45180000000005</v>
      </c>
      <c r="H47" s="4">
        <v>6290.9755999999998</v>
      </c>
      <c r="I47" s="4">
        <v>275.84769999999997</v>
      </c>
      <c r="J47" s="5">
        <v>106153.6747</v>
      </c>
      <c r="K47" s="4">
        <v>14485.0946</v>
      </c>
      <c r="L47" s="4">
        <v>91668.580100000006</v>
      </c>
      <c r="M47" s="4">
        <v>2612.8294000000001</v>
      </c>
      <c r="N47" s="4">
        <v>2388.4187999999999</v>
      </c>
      <c r="O47" s="4">
        <v>224.41059999999999</v>
      </c>
      <c r="P47" s="4">
        <v>0</v>
      </c>
      <c r="Q47" s="4">
        <v>177.11439999999999</v>
      </c>
      <c r="R47" s="4">
        <v>177.11439999999999</v>
      </c>
      <c r="S47" s="4">
        <v>3818.4178000000002</v>
      </c>
      <c r="T47" s="4">
        <v>-10044.9797</v>
      </c>
      <c r="U47" s="4">
        <v>144790.75750000001</v>
      </c>
      <c r="V47" s="4">
        <v>86386.093299999993</v>
      </c>
      <c r="W47" s="4">
        <v>22226.947700000001</v>
      </c>
      <c r="X47" s="4">
        <v>64159.145600000003</v>
      </c>
      <c r="Y47" s="4">
        <v>23877.654699999999</v>
      </c>
      <c r="Z47" s="4">
        <v>445.80119999999999</v>
      </c>
      <c r="AA47" s="4">
        <v>23431.853599999999</v>
      </c>
      <c r="AB47" s="4">
        <v>8159.6707999999999</v>
      </c>
      <c r="AC47" s="4">
        <v>3015.1936999999998</v>
      </c>
      <c r="AD47" s="4">
        <v>5144.4771000000001</v>
      </c>
      <c r="AE47" s="4">
        <v>23661.4817</v>
      </c>
      <c r="AF47" s="4">
        <v>19875.084699999999</v>
      </c>
      <c r="AG47" s="4">
        <v>3786.3969999999999</v>
      </c>
      <c r="AH47" s="4">
        <v>2705.8569000000002</v>
      </c>
    </row>
    <row r="48" spans="1:34" x14ac:dyDescent="0.2">
      <c r="A48" s="3">
        <v>41609</v>
      </c>
      <c r="B48" s="4">
        <v>139644.2579</v>
      </c>
      <c r="C48" s="4">
        <v>16464.537</v>
      </c>
      <c r="D48" s="4">
        <v>9128.8809000000001</v>
      </c>
      <c r="E48" s="4">
        <v>7335.6561000000002</v>
      </c>
      <c r="F48" s="5">
        <v>7584.3824999999997</v>
      </c>
      <c r="G48" s="4">
        <v>675.07349999999997</v>
      </c>
      <c r="H48" s="4">
        <v>6909.3090000000002</v>
      </c>
      <c r="I48" s="4">
        <v>236.69909999999999</v>
      </c>
      <c r="J48" s="5">
        <v>108891.86320000001</v>
      </c>
      <c r="K48" s="4">
        <v>14556.771199999999</v>
      </c>
      <c r="L48" s="4">
        <v>94335.092000000004</v>
      </c>
      <c r="M48" s="4">
        <v>2720.5852</v>
      </c>
      <c r="N48" s="4">
        <v>2585.1219000000001</v>
      </c>
      <c r="O48" s="4">
        <v>135.4633</v>
      </c>
      <c r="P48" s="4">
        <v>0</v>
      </c>
      <c r="Q48" s="4">
        <v>181.1848</v>
      </c>
      <c r="R48" s="4">
        <v>181.1848</v>
      </c>
      <c r="S48" s="4">
        <v>3565.0059999999999</v>
      </c>
      <c r="T48" s="4">
        <v>-9654.2793000000001</v>
      </c>
      <c r="U48" s="4">
        <v>149298.53709999999</v>
      </c>
      <c r="V48" s="4">
        <v>89049.598499999993</v>
      </c>
      <c r="W48" s="4">
        <v>24772.086500000001</v>
      </c>
      <c r="X48" s="4">
        <v>64277.512000000002</v>
      </c>
      <c r="Y48" s="4">
        <v>25575.4018</v>
      </c>
      <c r="Z48" s="4">
        <v>801.6508</v>
      </c>
      <c r="AA48" s="4">
        <v>24773.751100000001</v>
      </c>
      <c r="AB48" s="4">
        <v>8316.6118000000006</v>
      </c>
      <c r="AC48" s="4">
        <v>3101.0522999999998</v>
      </c>
      <c r="AD48" s="4">
        <v>5215.5595999999996</v>
      </c>
      <c r="AE48" s="4">
        <v>24009.899700000002</v>
      </c>
      <c r="AF48" s="4">
        <v>19955.2327</v>
      </c>
      <c r="AG48" s="4">
        <v>4054.6669999999999</v>
      </c>
      <c r="AH48" s="4">
        <v>2347.0252999999998</v>
      </c>
    </row>
    <row r="49" spans="1:34" x14ac:dyDescent="0.2">
      <c r="A49" s="3">
        <v>41699</v>
      </c>
      <c r="B49" s="4">
        <v>141668.1759</v>
      </c>
      <c r="C49" s="4">
        <v>16257.4121</v>
      </c>
      <c r="D49" s="4">
        <v>9498.2132999999994</v>
      </c>
      <c r="E49" s="4">
        <v>6759.1986999999999</v>
      </c>
      <c r="F49" s="5">
        <v>7069.5025999999998</v>
      </c>
      <c r="G49" s="4">
        <v>887.72739999999999</v>
      </c>
      <c r="H49" s="4">
        <v>6181.7752</v>
      </c>
      <c r="I49" s="4">
        <v>154.1705</v>
      </c>
      <c r="J49" s="5">
        <v>110755.2807</v>
      </c>
      <c r="K49" s="4">
        <v>14641.293600000001</v>
      </c>
      <c r="L49" s="4">
        <v>96113.987099999998</v>
      </c>
      <c r="M49" s="4">
        <v>3087.1675</v>
      </c>
      <c r="N49" s="4">
        <v>2678.0084999999999</v>
      </c>
      <c r="O49" s="4">
        <v>409.15899999999999</v>
      </c>
      <c r="P49" s="4">
        <v>0</v>
      </c>
      <c r="Q49" s="4">
        <v>188.7336</v>
      </c>
      <c r="R49" s="4">
        <v>188.7336</v>
      </c>
      <c r="S49" s="4">
        <v>4155.9089999999997</v>
      </c>
      <c r="T49" s="4">
        <v>-9563.8389999999999</v>
      </c>
      <c r="U49" s="4">
        <v>151232.01490000001</v>
      </c>
      <c r="V49" s="4">
        <v>89757.283200000005</v>
      </c>
      <c r="W49" s="4">
        <v>24310.105500000001</v>
      </c>
      <c r="X49" s="4">
        <v>65447.1777</v>
      </c>
      <c r="Y49" s="4">
        <v>26685.857199999999</v>
      </c>
      <c r="Z49" s="4">
        <v>629.7337</v>
      </c>
      <c r="AA49" s="4">
        <v>26056.1234</v>
      </c>
      <c r="AB49" s="4">
        <v>8162.652</v>
      </c>
      <c r="AC49" s="4">
        <v>2851.4684000000002</v>
      </c>
      <c r="AD49" s="4">
        <v>5311.1836000000003</v>
      </c>
      <c r="AE49" s="4">
        <v>23745.516</v>
      </c>
      <c r="AF49" s="4">
        <v>19565.1476</v>
      </c>
      <c r="AG49" s="4">
        <v>4180.3684000000003</v>
      </c>
      <c r="AH49" s="4">
        <v>2880.7064999999998</v>
      </c>
    </row>
    <row r="50" spans="1:34" x14ac:dyDescent="0.2">
      <c r="A50" s="3">
        <v>41791</v>
      </c>
      <c r="B50" s="4">
        <v>142507.0502</v>
      </c>
      <c r="C50" s="4">
        <v>13801.817800000001</v>
      </c>
      <c r="D50" s="4">
        <v>7678.3239999999996</v>
      </c>
      <c r="E50" s="4">
        <v>6123.4938000000002</v>
      </c>
      <c r="F50" s="5">
        <v>7986.8222999999998</v>
      </c>
      <c r="G50" s="4">
        <v>1156.3652999999999</v>
      </c>
      <c r="H50" s="4">
        <v>6830.4569000000001</v>
      </c>
      <c r="I50" s="4">
        <v>81.447599999999994</v>
      </c>
      <c r="J50" s="5">
        <v>113109.4172</v>
      </c>
      <c r="K50" s="4">
        <v>14682.1734</v>
      </c>
      <c r="L50" s="4">
        <v>98427.243799999997</v>
      </c>
      <c r="M50" s="4">
        <v>2985.8512999999998</v>
      </c>
      <c r="N50" s="4">
        <v>2821.0888</v>
      </c>
      <c r="O50" s="4">
        <v>164.76249999999999</v>
      </c>
      <c r="P50" s="4">
        <v>0</v>
      </c>
      <c r="Q50" s="4">
        <v>199.43299999999999</v>
      </c>
      <c r="R50" s="4">
        <v>199.43299999999999</v>
      </c>
      <c r="S50" s="4">
        <v>4342.2610000000004</v>
      </c>
      <c r="T50" s="4">
        <v>-11013.572399999999</v>
      </c>
      <c r="U50" s="4">
        <v>153520.6226</v>
      </c>
      <c r="V50" s="4">
        <v>87732.792700000005</v>
      </c>
      <c r="W50" s="4">
        <v>24420.818299999999</v>
      </c>
      <c r="X50" s="4">
        <v>63311.974499999997</v>
      </c>
      <c r="Y50" s="4">
        <v>29774.6</v>
      </c>
      <c r="Z50" s="4">
        <v>782.94640000000004</v>
      </c>
      <c r="AA50" s="4">
        <v>28991.653600000001</v>
      </c>
      <c r="AB50" s="4">
        <v>7869.2350999999999</v>
      </c>
      <c r="AC50" s="4">
        <v>2814.8134</v>
      </c>
      <c r="AD50" s="4">
        <v>5054.4216999999999</v>
      </c>
      <c r="AE50" s="4">
        <v>25326.541700000002</v>
      </c>
      <c r="AF50" s="4">
        <v>20978.586200000002</v>
      </c>
      <c r="AG50" s="4">
        <v>4347.9555</v>
      </c>
      <c r="AH50" s="4">
        <v>2817.4531000000002</v>
      </c>
    </row>
    <row r="51" spans="1:34" x14ac:dyDescent="0.2">
      <c r="A51" s="3">
        <v>41883</v>
      </c>
      <c r="B51" s="4">
        <v>148729.1464</v>
      </c>
      <c r="C51" s="4">
        <v>15455.266299999999</v>
      </c>
      <c r="D51" s="4">
        <v>9126.8217000000004</v>
      </c>
      <c r="E51" s="4">
        <v>6328.4447</v>
      </c>
      <c r="F51" s="5">
        <v>7805.4093999999996</v>
      </c>
      <c r="G51" s="4">
        <v>1627.1726000000001</v>
      </c>
      <c r="H51" s="4">
        <v>6178.2367999999997</v>
      </c>
      <c r="I51" s="4">
        <v>99.650199999999998</v>
      </c>
      <c r="J51" s="5">
        <v>115936.7718</v>
      </c>
      <c r="K51" s="4">
        <v>15071.627500000001</v>
      </c>
      <c r="L51" s="4">
        <v>100865.1443</v>
      </c>
      <c r="M51" s="4">
        <v>3438.6154000000001</v>
      </c>
      <c r="N51" s="4">
        <v>2968.7937000000002</v>
      </c>
      <c r="O51" s="4">
        <v>469.82170000000002</v>
      </c>
      <c r="P51" s="4">
        <v>0</v>
      </c>
      <c r="Q51" s="4">
        <v>204.64320000000001</v>
      </c>
      <c r="R51" s="4">
        <v>204.64320000000001</v>
      </c>
      <c r="S51" s="4">
        <v>5788.7901000000002</v>
      </c>
      <c r="T51" s="4">
        <v>-10839.0051</v>
      </c>
      <c r="U51" s="4">
        <v>159568.15150000001</v>
      </c>
      <c r="V51" s="4">
        <v>90729.333199999994</v>
      </c>
      <c r="W51" s="4">
        <v>24883.146000000001</v>
      </c>
      <c r="X51" s="4">
        <v>65846.1872</v>
      </c>
      <c r="Y51" s="4">
        <v>31378.3891</v>
      </c>
      <c r="Z51" s="4">
        <v>967.71140000000003</v>
      </c>
      <c r="AA51" s="4">
        <v>30410.6777</v>
      </c>
      <c r="AB51" s="4">
        <v>8020.9940999999999</v>
      </c>
      <c r="AC51" s="4">
        <v>2934.2330999999999</v>
      </c>
      <c r="AD51" s="4">
        <v>5086.7610000000004</v>
      </c>
      <c r="AE51" s="4">
        <v>25562.063300000002</v>
      </c>
      <c r="AF51" s="4">
        <v>21103.6384</v>
      </c>
      <c r="AG51" s="4">
        <v>4458.4249</v>
      </c>
      <c r="AH51" s="4">
        <v>3877.3719000000001</v>
      </c>
    </row>
    <row r="52" spans="1:34" x14ac:dyDescent="0.2">
      <c r="A52" s="3">
        <v>41974</v>
      </c>
      <c r="B52" s="4">
        <v>155489.6599</v>
      </c>
      <c r="C52" s="4">
        <v>18225.254700000001</v>
      </c>
      <c r="D52" s="4">
        <v>11005.7338</v>
      </c>
      <c r="E52" s="4">
        <v>7219.5209000000004</v>
      </c>
      <c r="F52" s="5">
        <v>8611.8726000000006</v>
      </c>
      <c r="G52" s="4">
        <v>711.85730000000001</v>
      </c>
      <c r="H52" s="4">
        <v>7900.0151999999998</v>
      </c>
      <c r="I52" s="4">
        <v>87.594700000000003</v>
      </c>
      <c r="J52" s="5">
        <v>120262.2571</v>
      </c>
      <c r="K52" s="4">
        <v>15497.669400000001</v>
      </c>
      <c r="L52" s="4">
        <v>104764.5877</v>
      </c>
      <c r="M52" s="4">
        <v>3359.9077000000002</v>
      </c>
      <c r="N52" s="4">
        <v>2852.5167999999999</v>
      </c>
      <c r="O52" s="4">
        <v>507.39080000000001</v>
      </c>
      <c r="P52" s="4">
        <v>0</v>
      </c>
      <c r="Q52" s="4">
        <v>211.36619999999999</v>
      </c>
      <c r="R52" s="4">
        <v>211.36619999999999</v>
      </c>
      <c r="S52" s="4">
        <v>4731.4070000000002</v>
      </c>
      <c r="T52" s="4">
        <v>-8717.3089999999993</v>
      </c>
      <c r="U52" s="4">
        <v>164206.96890000001</v>
      </c>
      <c r="V52" s="4">
        <v>96611.920599999998</v>
      </c>
      <c r="W52" s="4">
        <v>28237.597300000001</v>
      </c>
      <c r="X52" s="4">
        <v>68374.323300000004</v>
      </c>
      <c r="Y52" s="4">
        <v>32020.488000000001</v>
      </c>
      <c r="Z52" s="4">
        <v>1036.5186000000001</v>
      </c>
      <c r="AA52" s="4">
        <v>30983.969400000002</v>
      </c>
      <c r="AB52" s="4">
        <v>8353.4624000000003</v>
      </c>
      <c r="AC52" s="4">
        <v>3122.9774000000002</v>
      </c>
      <c r="AD52" s="4">
        <v>5230.4849999999997</v>
      </c>
      <c r="AE52" s="4">
        <v>24253.007000000001</v>
      </c>
      <c r="AF52" s="4">
        <v>19579.401900000001</v>
      </c>
      <c r="AG52" s="4">
        <v>4673.6050999999998</v>
      </c>
      <c r="AH52" s="4">
        <v>2968.0909000000001</v>
      </c>
    </row>
    <row r="53" spans="1:34" x14ac:dyDescent="0.2">
      <c r="A53" s="3">
        <v>42064</v>
      </c>
      <c r="B53" s="4">
        <v>156493.9632</v>
      </c>
      <c r="C53" s="4">
        <v>18207.9768</v>
      </c>
      <c r="D53" s="4">
        <v>10987.757100000001</v>
      </c>
      <c r="E53" s="4">
        <v>7220.2196000000004</v>
      </c>
      <c r="F53" s="5">
        <v>7836.8296</v>
      </c>
      <c r="G53" s="4">
        <v>1310.9024999999999</v>
      </c>
      <c r="H53" s="4">
        <v>6525.9270999999999</v>
      </c>
      <c r="I53" s="4">
        <v>251.08160000000001</v>
      </c>
      <c r="J53" s="5">
        <v>121578.2534</v>
      </c>
      <c r="K53" s="4">
        <v>15770.4959</v>
      </c>
      <c r="L53" s="4">
        <v>105807.75750000001</v>
      </c>
      <c r="M53" s="4">
        <v>3452.1327999999999</v>
      </c>
      <c r="N53" s="4">
        <v>2874.6021000000001</v>
      </c>
      <c r="O53" s="4">
        <v>577.53060000000005</v>
      </c>
      <c r="P53" s="4">
        <v>0</v>
      </c>
      <c r="Q53" s="4">
        <v>212.93199999999999</v>
      </c>
      <c r="R53" s="4">
        <v>212.93199999999999</v>
      </c>
      <c r="S53" s="4">
        <v>4954.7569999999996</v>
      </c>
      <c r="T53" s="4">
        <v>-10049.127899999999</v>
      </c>
      <c r="U53" s="4">
        <v>166543.09109999999</v>
      </c>
      <c r="V53" s="4">
        <v>96144.447100000005</v>
      </c>
      <c r="W53" s="4">
        <v>27694.723999999998</v>
      </c>
      <c r="X53" s="4">
        <v>68449.723199999993</v>
      </c>
      <c r="Y53" s="4">
        <v>33757.991900000001</v>
      </c>
      <c r="Z53" s="4">
        <v>1006.2821</v>
      </c>
      <c r="AA53" s="4">
        <v>32751.709800000001</v>
      </c>
      <c r="AB53" s="4">
        <v>7851.8546999999999</v>
      </c>
      <c r="AC53" s="4">
        <v>2806.3692000000001</v>
      </c>
      <c r="AD53" s="4">
        <v>5045.4854999999998</v>
      </c>
      <c r="AE53" s="4">
        <v>24666.845099999999</v>
      </c>
      <c r="AF53" s="4">
        <v>19782.635900000001</v>
      </c>
      <c r="AG53" s="4">
        <v>4884.2092000000002</v>
      </c>
      <c r="AH53" s="4">
        <v>4121.9522999999999</v>
      </c>
    </row>
    <row r="54" spans="1:34" x14ac:dyDescent="0.2">
      <c r="A54" s="3">
        <v>42156</v>
      </c>
      <c r="B54" s="4">
        <v>159032.41390000001</v>
      </c>
      <c r="C54" s="4">
        <v>17324.464599999999</v>
      </c>
      <c r="D54" s="4">
        <v>10582.957200000001</v>
      </c>
      <c r="E54" s="4">
        <v>6741.5074000000004</v>
      </c>
      <c r="F54" s="5">
        <v>8726.1034999999993</v>
      </c>
      <c r="G54" s="4">
        <v>1326.3468</v>
      </c>
      <c r="H54" s="4">
        <v>7399.7566999999999</v>
      </c>
      <c r="I54" s="4">
        <v>374.92320000000001</v>
      </c>
      <c r="J54" s="5">
        <v>124473.7882</v>
      </c>
      <c r="K54" s="4">
        <v>15844.8356</v>
      </c>
      <c r="L54" s="4">
        <v>108628.9526</v>
      </c>
      <c r="M54" s="4">
        <v>3595.8993999999998</v>
      </c>
      <c r="N54" s="4">
        <v>3102.2392</v>
      </c>
      <c r="O54" s="4">
        <v>493.66019999999997</v>
      </c>
      <c r="P54" s="4">
        <v>0</v>
      </c>
      <c r="Q54" s="4">
        <v>222.2773</v>
      </c>
      <c r="R54" s="4">
        <v>222.2773</v>
      </c>
      <c r="S54" s="4">
        <v>4314.9578000000001</v>
      </c>
      <c r="T54" s="4">
        <v>-9903.2646999999997</v>
      </c>
      <c r="U54" s="4">
        <v>168935.67860000001</v>
      </c>
      <c r="V54" s="4">
        <v>97120.918399999995</v>
      </c>
      <c r="W54" s="4">
        <v>28570.865699999998</v>
      </c>
      <c r="X54" s="4">
        <v>68550.052800000005</v>
      </c>
      <c r="Y54" s="4">
        <v>35053.332999999999</v>
      </c>
      <c r="Z54" s="4">
        <v>1028.1222</v>
      </c>
      <c r="AA54" s="4">
        <v>34025.210899999998</v>
      </c>
      <c r="AB54" s="4">
        <v>8188.3720999999996</v>
      </c>
      <c r="AC54" s="4">
        <v>3110.3870999999999</v>
      </c>
      <c r="AD54" s="4">
        <v>5077.9849999999997</v>
      </c>
      <c r="AE54" s="4">
        <v>24684.006000000001</v>
      </c>
      <c r="AF54" s="4">
        <v>19650.571</v>
      </c>
      <c r="AG54" s="4">
        <v>5033.4350000000004</v>
      </c>
      <c r="AH54" s="4">
        <v>3889.0491000000002</v>
      </c>
    </row>
    <row r="55" spans="1:34" x14ac:dyDescent="0.2">
      <c r="A55" s="3">
        <v>42248</v>
      </c>
      <c r="B55" s="4">
        <v>165813.39550000001</v>
      </c>
      <c r="C55" s="4">
        <v>17768.851699999999</v>
      </c>
      <c r="D55" s="4">
        <v>10435.831700000001</v>
      </c>
      <c r="E55" s="4">
        <v>7333.02</v>
      </c>
      <c r="F55" s="5">
        <v>8517.8768999999993</v>
      </c>
      <c r="G55" s="4">
        <v>1355.3378</v>
      </c>
      <c r="H55" s="4">
        <v>7162.5391</v>
      </c>
      <c r="I55" s="4">
        <v>139.12729999999999</v>
      </c>
      <c r="J55" s="5">
        <v>129568.8401</v>
      </c>
      <c r="K55" s="4">
        <v>16827.772199999999</v>
      </c>
      <c r="L55" s="4">
        <v>112741.0678</v>
      </c>
      <c r="M55" s="4">
        <v>3558.9229999999998</v>
      </c>
      <c r="N55" s="4">
        <v>3159.0277999999998</v>
      </c>
      <c r="O55" s="4">
        <v>399.89519999999999</v>
      </c>
      <c r="P55" s="4">
        <v>0</v>
      </c>
      <c r="Q55" s="4">
        <v>231.32509999999999</v>
      </c>
      <c r="R55" s="4">
        <v>231.32509999999999</v>
      </c>
      <c r="S55" s="4">
        <v>6028.4513999999999</v>
      </c>
      <c r="T55" s="4">
        <v>-9594.1715000000004</v>
      </c>
      <c r="U55" s="4">
        <v>175407.56700000001</v>
      </c>
      <c r="V55" s="4">
        <v>100842.7665</v>
      </c>
      <c r="W55" s="4">
        <v>28956.2618</v>
      </c>
      <c r="X55" s="4">
        <v>71886.504700000005</v>
      </c>
      <c r="Y55" s="4">
        <v>36337.024700000002</v>
      </c>
      <c r="Z55" s="4">
        <v>778.29880000000003</v>
      </c>
      <c r="AA55" s="4">
        <v>35558.725899999998</v>
      </c>
      <c r="AB55" s="4">
        <v>8987.7263000000003</v>
      </c>
      <c r="AC55" s="4">
        <v>3200.3616000000002</v>
      </c>
      <c r="AD55" s="4">
        <v>5787.3647000000001</v>
      </c>
      <c r="AE55" s="4">
        <v>24712.053199999998</v>
      </c>
      <c r="AF55" s="4">
        <v>19654.8109</v>
      </c>
      <c r="AG55" s="4">
        <v>5057.2422999999999</v>
      </c>
      <c r="AH55" s="4">
        <v>4527.9962999999998</v>
      </c>
    </row>
    <row r="56" spans="1:34" x14ac:dyDescent="0.2">
      <c r="A56" s="3">
        <v>42339</v>
      </c>
      <c r="B56" s="4">
        <v>172391.92679999999</v>
      </c>
      <c r="C56" s="4">
        <v>20564.291300000001</v>
      </c>
      <c r="D56" s="4">
        <v>12632.9144</v>
      </c>
      <c r="E56" s="4">
        <v>7931.3770000000004</v>
      </c>
      <c r="F56" s="5">
        <v>9593.7396000000008</v>
      </c>
      <c r="G56" s="4">
        <v>941.85260000000005</v>
      </c>
      <c r="H56" s="4">
        <v>8651.8870000000006</v>
      </c>
      <c r="I56" s="4">
        <v>276.392</v>
      </c>
      <c r="J56" s="5">
        <v>132994.20600000001</v>
      </c>
      <c r="K56" s="4">
        <v>16836.5452</v>
      </c>
      <c r="L56" s="4">
        <v>116157.6608</v>
      </c>
      <c r="M56" s="4">
        <v>4008.4847</v>
      </c>
      <c r="N56" s="4">
        <v>3757.7840999999999</v>
      </c>
      <c r="O56" s="4">
        <v>250.70060000000001</v>
      </c>
      <c r="P56" s="4">
        <v>0</v>
      </c>
      <c r="Q56" s="4">
        <v>230.30070000000001</v>
      </c>
      <c r="R56" s="4">
        <v>230.30070000000001</v>
      </c>
      <c r="S56" s="4">
        <v>4724.5123999999996</v>
      </c>
      <c r="T56" s="4">
        <v>-8197.6175999999996</v>
      </c>
      <c r="U56" s="4">
        <v>180589.54440000001</v>
      </c>
      <c r="V56" s="4">
        <v>106308.4684</v>
      </c>
      <c r="W56" s="4">
        <v>32910.162700000001</v>
      </c>
      <c r="X56" s="4">
        <v>73398.305699999997</v>
      </c>
      <c r="Y56" s="4">
        <v>35758.3868</v>
      </c>
      <c r="Z56" s="4">
        <v>282.75420000000003</v>
      </c>
      <c r="AA56" s="4">
        <v>35475.632700000002</v>
      </c>
      <c r="AB56" s="4">
        <v>10018.213</v>
      </c>
      <c r="AC56" s="4">
        <v>3236.9884999999999</v>
      </c>
      <c r="AD56" s="4">
        <v>6781.2245000000003</v>
      </c>
      <c r="AE56" s="4">
        <v>24574.2516</v>
      </c>
      <c r="AF56" s="4">
        <v>19380.9241</v>
      </c>
      <c r="AG56" s="4">
        <v>5193.3275000000003</v>
      </c>
      <c r="AH56" s="4">
        <v>3930.2244999999998</v>
      </c>
    </row>
    <row r="57" spans="1:34" x14ac:dyDescent="0.2">
      <c r="A57" s="3">
        <v>42430</v>
      </c>
      <c r="B57" s="4">
        <v>172231.353</v>
      </c>
      <c r="C57" s="4">
        <v>20189.321899999999</v>
      </c>
      <c r="D57" s="4">
        <v>11978.9108</v>
      </c>
      <c r="E57" s="4">
        <v>8210.4110999999994</v>
      </c>
      <c r="F57" s="5">
        <v>8968.9441000000006</v>
      </c>
      <c r="G57" s="4">
        <v>2036.4075</v>
      </c>
      <c r="H57" s="4">
        <v>6932.5366000000004</v>
      </c>
      <c r="I57" s="4">
        <v>176.2936</v>
      </c>
      <c r="J57" s="5">
        <v>133623.13</v>
      </c>
      <c r="K57" s="4">
        <v>16308.1281</v>
      </c>
      <c r="L57" s="4">
        <v>117315.0019</v>
      </c>
      <c r="M57" s="4">
        <v>3921.4241000000002</v>
      </c>
      <c r="N57" s="4">
        <v>3592.6695</v>
      </c>
      <c r="O57" s="4">
        <v>328.75459999999998</v>
      </c>
      <c r="P57" s="4">
        <v>0</v>
      </c>
      <c r="Q57" s="4">
        <v>224.27770000000001</v>
      </c>
      <c r="R57" s="4">
        <v>224.27770000000001</v>
      </c>
      <c r="S57" s="4">
        <v>5127.9615999999996</v>
      </c>
      <c r="T57" s="4">
        <v>-8454.0267000000003</v>
      </c>
      <c r="U57" s="4">
        <v>180685.37969999999</v>
      </c>
      <c r="V57" s="4">
        <v>106664.7401</v>
      </c>
      <c r="W57" s="4">
        <v>31321.2454</v>
      </c>
      <c r="X57" s="4">
        <v>75343.494699999996</v>
      </c>
      <c r="Y57" s="4">
        <v>35897.585899999998</v>
      </c>
      <c r="Z57" s="4">
        <v>184.4923</v>
      </c>
      <c r="AA57" s="4">
        <v>35713.0936</v>
      </c>
      <c r="AB57" s="4">
        <v>9320.1445999999996</v>
      </c>
      <c r="AC57" s="4">
        <v>2720.0360999999998</v>
      </c>
      <c r="AD57" s="4">
        <v>6600.1085000000003</v>
      </c>
      <c r="AE57" s="4">
        <v>24640.616099999999</v>
      </c>
      <c r="AF57" s="4">
        <v>20156.602900000002</v>
      </c>
      <c r="AG57" s="4">
        <v>4484.0132000000003</v>
      </c>
      <c r="AH57" s="4">
        <v>4162.2929999999997</v>
      </c>
    </row>
    <row r="58" spans="1:34" x14ac:dyDescent="0.2">
      <c r="A58" s="3">
        <v>42522</v>
      </c>
      <c r="B58" s="4">
        <v>175978.54060000001</v>
      </c>
      <c r="C58" s="4">
        <v>20151.807000000001</v>
      </c>
      <c r="D58" s="4">
        <v>11926.359700000001</v>
      </c>
      <c r="E58" s="4">
        <v>8225.4472999999998</v>
      </c>
      <c r="F58" s="5">
        <v>8936.3865000000005</v>
      </c>
      <c r="G58" s="4">
        <v>1610.6343999999999</v>
      </c>
      <c r="H58" s="4">
        <v>7325.7520000000004</v>
      </c>
      <c r="I58" s="4">
        <v>273.21260000000001</v>
      </c>
      <c r="J58" s="5">
        <v>136185.84299999999</v>
      </c>
      <c r="K58" s="4">
        <v>16520.984700000001</v>
      </c>
      <c r="L58" s="4">
        <v>119664.85830000001</v>
      </c>
      <c r="M58" s="4">
        <v>4748.9168</v>
      </c>
      <c r="N58" s="4">
        <v>4582.1819999999998</v>
      </c>
      <c r="O58" s="4">
        <v>166.73480000000001</v>
      </c>
      <c r="P58" s="4">
        <v>0</v>
      </c>
      <c r="Q58" s="4">
        <v>229.0711</v>
      </c>
      <c r="R58" s="4">
        <v>229.0711</v>
      </c>
      <c r="S58" s="4">
        <v>5453.3036000000002</v>
      </c>
      <c r="T58" s="4">
        <v>-7979.1277</v>
      </c>
      <c r="U58" s="4">
        <v>183957.66829999999</v>
      </c>
      <c r="V58" s="4">
        <v>107701.0091</v>
      </c>
      <c r="W58" s="4">
        <v>31822.763900000002</v>
      </c>
      <c r="X58" s="4">
        <v>75878.2451</v>
      </c>
      <c r="Y58" s="4">
        <v>37373.413399999998</v>
      </c>
      <c r="Z58" s="4">
        <v>262.14449999999999</v>
      </c>
      <c r="AA58" s="4">
        <v>37111.268799999998</v>
      </c>
      <c r="AB58" s="4">
        <v>9452.7798999999995</v>
      </c>
      <c r="AC58" s="4">
        <v>2994.7988999999998</v>
      </c>
      <c r="AD58" s="4">
        <v>6457.9809999999998</v>
      </c>
      <c r="AE58" s="4">
        <v>25187.589100000001</v>
      </c>
      <c r="AF58" s="4">
        <v>20603.5949</v>
      </c>
      <c r="AG58" s="4">
        <v>4583.9940999999999</v>
      </c>
      <c r="AH58" s="4">
        <v>4242.8768</v>
      </c>
    </row>
    <row r="59" spans="1:34" x14ac:dyDescent="0.2">
      <c r="A59" s="3">
        <v>42614</v>
      </c>
      <c r="B59" s="4">
        <v>175767.0845</v>
      </c>
      <c r="C59" s="4">
        <v>18108.1849</v>
      </c>
      <c r="D59" s="4">
        <v>10184.5465</v>
      </c>
      <c r="E59" s="4">
        <v>7923.6383999999998</v>
      </c>
      <c r="F59" s="5">
        <v>9183.2903000000006</v>
      </c>
      <c r="G59" s="4">
        <v>2336.4829</v>
      </c>
      <c r="H59" s="4">
        <v>6846.8073999999997</v>
      </c>
      <c r="I59" s="4">
        <v>312.2878</v>
      </c>
      <c r="J59" s="5">
        <v>137991.83780000001</v>
      </c>
      <c r="K59" s="4">
        <v>16346.365599999999</v>
      </c>
      <c r="L59" s="4">
        <v>121645.4722</v>
      </c>
      <c r="M59" s="4">
        <v>4748.9371000000001</v>
      </c>
      <c r="N59" s="4">
        <v>4574.6225999999997</v>
      </c>
      <c r="O59" s="4">
        <v>174.31450000000001</v>
      </c>
      <c r="P59" s="4">
        <v>0</v>
      </c>
      <c r="Q59" s="4">
        <v>230.952</v>
      </c>
      <c r="R59" s="4">
        <v>230.952</v>
      </c>
      <c r="S59" s="4">
        <v>5191.5946999999996</v>
      </c>
      <c r="T59" s="4">
        <v>-9986.1080999999995</v>
      </c>
      <c r="U59" s="4">
        <v>185753.19260000001</v>
      </c>
      <c r="V59" s="4">
        <v>106704.4019</v>
      </c>
      <c r="W59" s="4">
        <v>30896.714599999999</v>
      </c>
      <c r="X59" s="4">
        <v>75807.687300000005</v>
      </c>
      <c r="Y59" s="4">
        <v>39949.440499999997</v>
      </c>
      <c r="Z59" s="4">
        <v>318.45179999999999</v>
      </c>
      <c r="AA59" s="4">
        <v>39630.988700000002</v>
      </c>
      <c r="AB59" s="4">
        <v>8677.6478999999999</v>
      </c>
      <c r="AC59" s="4">
        <v>3002.6583000000001</v>
      </c>
      <c r="AD59" s="4">
        <v>5674.9894999999997</v>
      </c>
      <c r="AE59" s="4">
        <v>26753.262500000001</v>
      </c>
      <c r="AF59" s="4">
        <v>22007.840199999999</v>
      </c>
      <c r="AG59" s="4">
        <v>4745.4223000000002</v>
      </c>
      <c r="AH59" s="4">
        <v>3668.4398000000001</v>
      </c>
    </row>
    <row r="60" spans="1:34" x14ac:dyDescent="0.2">
      <c r="A60" s="3">
        <v>42705</v>
      </c>
      <c r="B60" s="4">
        <v>182522.7769</v>
      </c>
      <c r="C60" s="4">
        <v>20187.2153</v>
      </c>
      <c r="D60" s="4">
        <v>11353.568499999999</v>
      </c>
      <c r="E60" s="4">
        <v>8833.6468000000004</v>
      </c>
      <c r="F60" s="5">
        <v>11811.636399999999</v>
      </c>
      <c r="G60" s="4">
        <v>3331.7912999999999</v>
      </c>
      <c r="H60" s="4">
        <v>8479.8451000000005</v>
      </c>
      <c r="I60" s="4">
        <v>254.44640000000001</v>
      </c>
      <c r="J60" s="5">
        <v>140594.04370000001</v>
      </c>
      <c r="K60" s="4">
        <v>16588.634099999999</v>
      </c>
      <c r="L60" s="4">
        <v>124005.4096</v>
      </c>
      <c r="M60" s="4">
        <v>4761.1008000000002</v>
      </c>
      <c r="N60" s="4">
        <v>4583.0264999999999</v>
      </c>
      <c r="O60" s="4">
        <v>178.07429999999999</v>
      </c>
      <c r="P60" s="4">
        <v>0</v>
      </c>
      <c r="Q60" s="4">
        <v>237.0899</v>
      </c>
      <c r="R60" s="4">
        <v>237.0899</v>
      </c>
      <c r="S60" s="4">
        <v>4677.2444999999998</v>
      </c>
      <c r="T60" s="4">
        <v>-10688.4463</v>
      </c>
      <c r="U60" s="4">
        <v>193211.22320000001</v>
      </c>
      <c r="V60" s="4">
        <v>111084.56819999999</v>
      </c>
      <c r="W60" s="4">
        <v>33972.952799999999</v>
      </c>
      <c r="X60" s="4">
        <v>77111.615399999995</v>
      </c>
      <c r="Y60" s="4">
        <v>40798.2039</v>
      </c>
      <c r="Z60" s="4">
        <v>261.43279999999999</v>
      </c>
      <c r="AA60" s="4">
        <v>40536.771099999998</v>
      </c>
      <c r="AB60" s="4">
        <v>9222.0115999999998</v>
      </c>
      <c r="AC60" s="4">
        <v>3699.6437000000001</v>
      </c>
      <c r="AD60" s="4">
        <v>5522.3680000000004</v>
      </c>
      <c r="AE60" s="4">
        <v>28273.31</v>
      </c>
      <c r="AF60" s="4">
        <v>23493.482499999998</v>
      </c>
      <c r="AG60" s="4">
        <v>4779.8275000000003</v>
      </c>
      <c r="AH60" s="4">
        <v>3833.1293999999998</v>
      </c>
    </row>
    <row r="61" spans="1:34" x14ac:dyDescent="0.2">
      <c r="A61" s="3">
        <v>42795</v>
      </c>
      <c r="B61" s="4">
        <v>180991.90669999999</v>
      </c>
      <c r="C61" s="4">
        <v>17577.286199999999</v>
      </c>
      <c r="D61" s="4">
        <v>9836.6525000000001</v>
      </c>
      <c r="E61" s="4">
        <v>7740.6337000000003</v>
      </c>
      <c r="F61" s="5">
        <v>11371.0299</v>
      </c>
      <c r="G61" s="4">
        <v>3434.7393999999999</v>
      </c>
      <c r="H61" s="4">
        <v>7936.2905000000001</v>
      </c>
      <c r="I61" s="4">
        <v>177.42330000000001</v>
      </c>
      <c r="J61" s="5">
        <v>141313.2689</v>
      </c>
      <c r="K61" s="4">
        <v>16136.191800000001</v>
      </c>
      <c r="L61" s="4">
        <v>125177.07709999999</v>
      </c>
      <c r="M61" s="4">
        <v>5021.4593000000004</v>
      </c>
      <c r="N61" s="4">
        <v>4732.1090000000004</v>
      </c>
      <c r="O61" s="4">
        <v>289.35019999999997</v>
      </c>
      <c r="P61" s="4">
        <v>0</v>
      </c>
      <c r="Q61" s="4">
        <v>240.7467</v>
      </c>
      <c r="R61" s="4">
        <v>240.7467</v>
      </c>
      <c r="S61" s="4">
        <v>5290.6923999999999</v>
      </c>
      <c r="T61" s="4">
        <v>-12581.934999999999</v>
      </c>
      <c r="U61" s="4">
        <v>193573.84169999999</v>
      </c>
      <c r="V61" s="4">
        <v>108297.7012</v>
      </c>
      <c r="W61" s="4">
        <v>33493.9162</v>
      </c>
      <c r="X61" s="4">
        <v>74803.785000000003</v>
      </c>
      <c r="Y61" s="4">
        <v>43830.892899999999</v>
      </c>
      <c r="Z61" s="4">
        <v>437.93450000000001</v>
      </c>
      <c r="AA61" s="4">
        <v>43392.958400000003</v>
      </c>
      <c r="AB61" s="4">
        <v>8044.1309000000001</v>
      </c>
      <c r="AC61" s="4">
        <v>2686.0823999999998</v>
      </c>
      <c r="AD61" s="4">
        <v>5358.0483999999997</v>
      </c>
      <c r="AE61" s="4">
        <v>29380.4175</v>
      </c>
      <c r="AF61" s="4">
        <v>24852.201499999999</v>
      </c>
      <c r="AG61" s="4">
        <v>4528.2160000000003</v>
      </c>
      <c r="AH61" s="4">
        <v>4020.6992</v>
      </c>
    </row>
    <row r="62" spans="1:34" x14ac:dyDescent="0.2">
      <c r="A62" s="3">
        <v>42887</v>
      </c>
      <c r="B62" s="4">
        <v>183907.9448</v>
      </c>
      <c r="C62" s="4">
        <v>16791.741000000002</v>
      </c>
      <c r="D62" s="4">
        <v>9030.3706999999995</v>
      </c>
      <c r="E62" s="4">
        <v>7761.3702999999996</v>
      </c>
      <c r="F62" s="5">
        <v>12742.8894</v>
      </c>
      <c r="G62" s="4">
        <v>3548.1469999999999</v>
      </c>
      <c r="H62" s="4">
        <v>9194.7423999999992</v>
      </c>
      <c r="I62" s="4">
        <v>354.88159999999999</v>
      </c>
      <c r="J62" s="5">
        <v>143668.4627</v>
      </c>
      <c r="K62" s="4">
        <v>16941.205999999998</v>
      </c>
      <c r="L62" s="4">
        <v>126727.25659999999</v>
      </c>
      <c r="M62" s="4">
        <v>4981.5043999999998</v>
      </c>
      <c r="N62" s="4">
        <v>4740.8262999999997</v>
      </c>
      <c r="O62" s="4">
        <v>240.678</v>
      </c>
      <c r="P62" s="4">
        <v>0</v>
      </c>
      <c r="Q62" s="4">
        <v>250.0034</v>
      </c>
      <c r="R62" s="4">
        <v>250.0034</v>
      </c>
      <c r="S62" s="4">
        <v>5118.4624000000003</v>
      </c>
      <c r="T62" s="4">
        <v>-13395.674999999999</v>
      </c>
      <c r="U62" s="4">
        <v>197303.61979999999</v>
      </c>
      <c r="V62" s="4">
        <v>109803.81969999999</v>
      </c>
      <c r="W62" s="4">
        <v>34007.662100000001</v>
      </c>
      <c r="X62" s="4">
        <v>75796.157600000006</v>
      </c>
      <c r="Y62" s="4">
        <v>44126.477400000003</v>
      </c>
      <c r="Z62" s="4">
        <v>306.74549999999999</v>
      </c>
      <c r="AA62" s="4">
        <v>43819.731899999999</v>
      </c>
      <c r="AB62" s="4">
        <v>9139.7849000000006</v>
      </c>
      <c r="AC62" s="4">
        <v>3871.3249999999998</v>
      </c>
      <c r="AD62" s="4">
        <v>5268.4598999999998</v>
      </c>
      <c r="AE62" s="4">
        <v>30219.9774</v>
      </c>
      <c r="AF62" s="4">
        <v>25735.457399999999</v>
      </c>
      <c r="AG62" s="4">
        <v>4484.5199000000002</v>
      </c>
      <c r="AH62" s="4">
        <v>4013.5603999999998</v>
      </c>
    </row>
    <row r="63" spans="1:34" x14ac:dyDescent="0.2">
      <c r="A63" s="3">
        <v>42979</v>
      </c>
      <c r="B63" s="4">
        <v>184468.8885</v>
      </c>
      <c r="C63" s="4">
        <v>16459.239600000001</v>
      </c>
      <c r="D63" s="4">
        <v>9699.4315999999999</v>
      </c>
      <c r="E63" s="4">
        <v>6759.8078999999998</v>
      </c>
      <c r="F63" s="5">
        <v>13112.0005</v>
      </c>
      <c r="G63" s="4">
        <v>3046.4474</v>
      </c>
      <c r="H63" s="4">
        <v>10065.553099999999</v>
      </c>
      <c r="I63" s="4">
        <v>180.6557</v>
      </c>
      <c r="J63" s="5">
        <v>144596.359</v>
      </c>
      <c r="K63" s="4">
        <v>15963.6073</v>
      </c>
      <c r="L63" s="4">
        <v>128632.75169999999</v>
      </c>
      <c r="M63" s="4">
        <v>5020.5704999999998</v>
      </c>
      <c r="N63" s="4">
        <v>4830.9011</v>
      </c>
      <c r="O63" s="4">
        <v>189.66929999999999</v>
      </c>
      <c r="P63" s="4">
        <v>0</v>
      </c>
      <c r="Q63" s="4">
        <v>251.9992</v>
      </c>
      <c r="R63" s="4">
        <v>251.9992</v>
      </c>
      <c r="S63" s="4">
        <v>4848.0640999999996</v>
      </c>
      <c r="T63" s="4">
        <v>-15675.004199999999</v>
      </c>
      <c r="U63" s="4">
        <v>200143.8928</v>
      </c>
      <c r="V63" s="4">
        <v>110867.757</v>
      </c>
      <c r="W63" s="4">
        <v>33605.087</v>
      </c>
      <c r="X63" s="4">
        <v>77262.67</v>
      </c>
      <c r="Y63" s="4">
        <v>43075.008099999999</v>
      </c>
      <c r="Z63" s="4">
        <v>245.15379999999999</v>
      </c>
      <c r="AA63" s="4">
        <v>42829.854399999997</v>
      </c>
      <c r="AB63" s="4">
        <v>8904.2433999999994</v>
      </c>
      <c r="AC63" s="4">
        <v>3114.79</v>
      </c>
      <c r="AD63" s="4">
        <v>5789.4533000000001</v>
      </c>
      <c r="AE63" s="4">
        <v>33207.864800000003</v>
      </c>
      <c r="AF63" s="4">
        <v>28620.0128</v>
      </c>
      <c r="AG63" s="4">
        <v>4587.8519999999999</v>
      </c>
      <c r="AH63" s="4">
        <v>4089.0194999999999</v>
      </c>
    </row>
    <row r="64" spans="1:34" x14ac:dyDescent="0.2">
      <c r="A64" s="3">
        <v>43070</v>
      </c>
      <c r="B64" s="4">
        <v>190764.95180000001</v>
      </c>
      <c r="C64" s="4">
        <v>17878.371500000001</v>
      </c>
      <c r="D64" s="4">
        <v>10735.325199999999</v>
      </c>
      <c r="E64" s="4">
        <v>7143.0463</v>
      </c>
      <c r="F64" s="5">
        <v>16587.1541</v>
      </c>
      <c r="G64" s="4">
        <v>3574.0464999999999</v>
      </c>
      <c r="H64" s="4">
        <v>13013.107599999999</v>
      </c>
      <c r="I64" s="4">
        <v>-110.7055</v>
      </c>
      <c r="J64" s="5">
        <v>147173.37779999999</v>
      </c>
      <c r="K64" s="4">
        <v>16591.259600000001</v>
      </c>
      <c r="L64" s="4">
        <v>130582.1182</v>
      </c>
      <c r="M64" s="4">
        <v>4897.7204000000002</v>
      </c>
      <c r="N64" s="4">
        <v>4742.6131999999998</v>
      </c>
      <c r="O64" s="4">
        <v>155.10730000000001</v>
      </c>
      <c r="P64" s="4">
        <v>0</v>
      </c>
      <c r="Q64" s="4">
        <v>257.40120000000002</v>
      </c>
      <c r="R64" s="4">
        <v>257.40120000000002</v>
      </c>
      <c r="S64" s="4">
        <v>4081.6324</v>
      </c>
      <c r="T64" s="4">
        <v>-16106.226000000001</v>
      </c>
      <c r="U64" s="4">
        <v>206871.1778</v>
      </c>
      <c r="V64" s="4">
        <v>115114.10980000001</v>
      </c>
      <c r="W64" s="4">
        <v>37219.713100000001</v>
      </c>
      <c r="X64" s="4">
        <v>77894.396699999998</v>
      </c>
      <c r="Y64" s="4">
        <v>43316.229800000001</v>
      </c>
      <c r="Z64" s="4">
        <v>289.85390000000001</v>
      </c>
      <c r="AA64" s="4">
        <v>43026.375899999999</v>
      </c>
      <c r="AB64" s="4">
        <v>9835.9596999999994</v>
      </c>
      <c r="AC64" s="4">
        <v>4757.3669</v>
      </c>
      <c r="AD64" s="4">
        <v>5078.5928000000004</v>
      </c>
      <c r="AE64" s="4">
        <v>34261.055200000003</v>
      </c>
      <c r="AF64" s="4">
        <v>29489.820299999999</v>
      </c>
      <c r="AG64" s="4">
        <v>4771.2349999999997</v>
      </c>
      <c r="AH64" s="4">
        <v>4343.8231999999998</v>
      </c>
    </row>
    <row r="65" spans="1:34" x14ac:dyDescent="0.2">
      <c r="A65" s="3">
        <v>43160</v>
      </c>
      <c r="B65" s="4">
        <v>192263.04569999999</v>
      </c>
      <c r="C65" s="4">
        <v>16703.737300000001</v>
      </c>
      <c r="D65" s="4">
        <v>10381.828600000001</v>
      </c>
      <c r="E65" s="4">
        <v>6321.9088000000002</v>
      </c>
      <c r="F65" s="5">
        <v>16225.811100000001</v>
      </c>
      <c r="G65" s="4">
        <v>4716.9209000000001</v>
      </c>
      <c r="H65" s="4">
        <v>11508.8902</v>
      </c>
      <c r="I65" s="4">
        <v>-101.2324</v>
      </c>
      <c r="J65" s="5">
        <v>149998.55790000001</v>
      </c>
      <c r="K65" s="4">
        <v>16893.442899999998</v>
      </c>
      <c r="L65" s="4">
        <v>133105.11499999999</v>
      </c>
      <c r="M65" s="4">
        <v>4887.3406000000004</v>
      </c>
      <c r="N65" s="4">
        <v>4673.6796999999997</v>
      </c>
      <c r="O65" s="4">
        <v>213.661</v>
      </c>
      <c r="P65" s="4">
        <v>0</v>
      </c>
      <c r="Q65" s="4">
        <v>262.20089999999999</v>
      </c>
      <c r="R65" s="4">
        <v>262.20089999999999</v>
      </c>
      <c r="S65" s="4">
        <v>4286.6301999999996</v>
      </c>
      <c r="T65" s="4">
        <v>-18016.904399999999</v>
      </c>
      <c r="U65" s="4">
        <v>210279.95009999999</v>
      </c>
      <c r="V65" s="4">
        <v>114681.2184</v>
      </c>
      <c r="W65" s="4">
        <v>37381.5867</v>
      </c>
      <c r="X65" s="4">
        <v>77299.631699999998</v>
      </c>
      <c r="Y65" s="4">
        <v>46630.5101</v>
      </c>
      <c r="Z65" s="4">
        <v>584.37099999999998</v>
      </c>
      <c r="AA65" s="4">
        <v>46046.1391</v>
      </c>
      <c r="AB65" s="4">
        <v>8592.0206999999991</v>
      </c>
      <c r="AC65" s="4">
        <v>3368.9281999999998</v>
      </c>
      <c r="AD65" s="4">
        <v>5223.0924999999997</v>
      </c>
      <c r="AE65" s="4">
        <v>35820.020499999999</v>
      </c>
      <c r="AF65" s="4">
        <v>31022.107199999999</v>
      </c>
      <c r="AG65" s="4">
        <v>4797.9133000000002</v>
      </c>
      <c r="AH65" s="4">
        <v>4556.1803</v>
      </c>
    </row>
    <row r="66" spans="1:34" x14ac:dyDescent="0.2">
      <c r="A66" s="3">
        <v>43252</v>
      </c>
      <c r="B66" s="4">
        <v>197160.46170000001</v>
      </c>
      <c r="C66" s="4">
        <v>16396.294600000001</v>
      </c>
      <c r="D66" s="4">
        <v>10410.208500000001</v>
      </c>
      <c r="E66" s="4">
        <v>5986.0860000000002</v>
      </c>
      <c r="F66" s="5">
        <v>16369.3177</v>
      </c>
      <c r="G66" s="4">
        <v>5517.7085999999999</v>
      </c>
      <c r="H66" s="4">
        <v>10851.6091</v>
      </c>
      <c r="I66" s="4">
        <v>103.95189999999999</v>
      </c>
      <c r="J66" s="5">
        <v>154369.4676</v>
      </c>
      <c r="K66" s="4">
        <v>17111.058499999999</v>
      </c>
      <c r="L66" s="4">
        <v>137258.40900000001</v>
      </c>
      <c r="M66" s="4">
        <v>5260.9250000000002</v>
      </c>
      <c r="N66" s="4">
        <v>5123.0379999999996</v>
      </c>
      <c r="O66" s="4">
        <v>137.8871</v>
      </c>
      <c r="P66" s="4">
        <v>0</v>
      </c>
      <c r="Q66" s="4">
        <v>265.56490000000002</v>
      </c>
      <c r="R66" s="4">
        <v>265.56490000000002</v>
      </c>
      <c r="S66" s="4">
        <v>4394.9400999999998</v>
      </c>
      <c r="T66" s="4">
        <v>-19165.553899999999</v>
      </c>
      <c r="U66" s="4">
        <v>216326.01560000001</v>
      </c>
      <c r="V66" s="4">
        <v>117244.79369999999</v>
      </c>
      <c r="W66" s="4">
        <v>37699.885900000001</v>
      </c>
      <c r="X66" s="4">
        <v>79544.907900000006</v>
      </c>
      <c r="Y66" s="4">
        <v>47742.107600000003</v>
      </c>
      <c r="Z66" s="4">
        <v>663.91669999999999</v>
      </c>
      <c r="AA66" s="4">
        <v>47078.190900000001</v>
      </c>
      <c r="AB66" s="4">
        <v>9600.4778000000006</v>
      </c>
      <c r="AC66" s="4">
        <v>3703.4933000000001</v>
      </c>
      <c r="AD66" s="4">
        <v>5896.9844999999996</v>
      </c>
      <c r="AE66" s="4">
        <v>36670.642200000002</v>
      </c>
      <c r="AF66" s="4">
        <v>31850.422699999999</v>
      </c>
      <c r="AG66" s="4">
        <v>4820.2195000000002</v>
      </c>
      <c r="AH66" s="4">
        <v>5067.9942000000001</v>
      </c>
    </row>
    <row r="67" spans="1:34" x14ac:dyDescent="0.2">
      <c r="A67" s="3">
        <v>43344</v>
      </c>
      <c r="B67" s="4">
        <v>200044.37899999999</v>
      </c>
      <c r="C67" s="4">
        <v>16010.941800000001</v>
      </c>
      <c r="D67" s="4">
        <v>10222.5396</v>
      </c>
      <c r="E67" s="4">
        <v>5788.4022000000004</v>
      </c>
      <c r="F67" s="5">
        <v>15820.813899999999</v>
      </c>
      <c r="G67" s="4">
        <v>5245.0234</v>
      </c>
      <c r="H67" s="4">
        <v>10575.7904</v>
      </c>
      <c r="I67" s="4">
        <v>58.226399999999998</v>
      </c>
      <c r="J67" s="5">
        <v>157630.05170000001</v>
      </c>
      <c r="K67" s="4">
        <v>17619.6819</v>
      </c>
      <c r="L67" s="4">
        <v>140010.36979999999</v>
      </c>
      <c r="M67" s="4">
        <v>5377.2691999999997</v>
      </c>
      <c r="N67" s="4">
        <v>5200.8617999999997</v>
      </c>
      <c r="O67" s="4">
        <v>176.4074</v>
      </c>
      <c r="P67" s="4">
        <v>0</v>
      </c>
      <c r="Q67" s="4">
        <v>270.24639999999999</v>
      </c>
      <c r="R67" s="4">
        <v>270.24639999999999</v>
      </c>
      <c r="S67" s="4">
        <v>4876.8298000000004</v>
      </c>
      <c r="T67" s="4">
        <v>-20114.872599999999</v>
      </c>
      <c r="U67" s="4">
        <v>220159.25169999999</v>
      </c>
      <c r="V67" s="4">
        <v>118065.94070000001</v>
      </c>
      <c r="W67" s="4">
        <v>37385.774799999999</v>
      </c>
      <c r="X67" s="4">
        <v>80680.165900000007</v>
      </c>
      <c r="Y67" s="4">
        <v>48594.5893</v>
      </c>
      <c r="Z67" s="4">
        <v>765.74069999999995</v>
      </c>
      <c r="AA67" s="4">
        <v>47828.848599999998</v>
      </c>
      <c r="AB67" s="4">
        <v>10217.6088</v>
      </c>
      <c r="AC67" s="4">
        <v>3788.9137000000001</v>
      </c>
      <c r="AD67" s="4">
        <v>6428.6950999999999</v>
      </c>
      <c r="AE67" s="4">
        <v>38037.453999999998</v>
      </c>
      <c r="AF67" s="4">
        <v>33100.943800000001</v>
      </c>
      <c r="AG67" s="4">
        <v>4936.5101999999997</v>
      </c>
      <c r="AH67" s="4">
        <v>5243.6589000000004</v>
      </c>
    </row>
    <row r="68" spans="1:34" x14ac:dyDescent="0.2">
      <c r="A68" s="3">
        <v>43435</v>
      </c>
      <c r="B68" s="4">
        <v>208669.16310000001</v>
      </c>
      <c r="C68" s="4">
        <v>18375.856599999999</v>
      </c>
      <c r="D68" s="4">
        <v>11684.063</v>
      </c>
      <c r="E68" s="4">
        <v>6691.7936</v>
      </c>
      <c r="F68" s="5">
        <v>15684.9953</v>
      </c>
      <c r="G68" s="4">
        <v>5142.4825000000001</v>
      </c>
      <c r="H68" s="4">
        <v>10542.5128</v>
      </c>
      <c r="I68" s="4">
        <v>818.91830000000004</v>
      </c>
      <c r="J68" s="5">
        <v>162081.47990000001</v>
      </c>
      <c r="K68" s="4">
        <v>18571.8024</v>
      </c>
      <c r="L68" s="4">
        <v>143509.67749999999</v>
      </c>
      <c r="M68" s="4">
        <v>5920.1925000000001</v>
      </c>
      <c r="N68" s="4">
        <v>5675.1557000000003</v>
      </c>
      <c r="O68" s="4">
        <v>245.0368</v>
      </c>
      <c r="P68" s="4">
        <v>0</v>
      </c>
      <c r="Q68" s="4">
        <v>281.84840000000003</v>
      </c>
      <c r="R68" s="4">
        <v>281.84840000000003</v>
      </c>
      <c r="S68" s="4">
        <v>5505.8720999999996</v>
      </c>
      <c r="T68" s="4">
        <v>-19037.209699999999</v>
      </c>
      <c r="U68" s="4">
        <v>227706.37280000001</v>
      </c>
      <c r="V68" s="4">
        <v>122195.5665</v>
      </c>
      <c r="W68" s="4">
        <v>40298.885999999999</v>
      </c>
      <c r="X68" s="4">
        <v>81896.680500000002</v>
      </c>
      <c r="Y68" s="4">
        <v>49325.411999999997</v>
      </c>
      <c r="Z68" s="4">
        <v>595.98199999999997</v>
      </c>
      <c r="AA68" s="4">
        <v>48729.43</v>
      </c>
      <c r="AB68" s="4">
        <v>11591.553599999999</v>
      </c>
      <c r="AC68" s="4">
        <v>4443.7853999999998</v>
      </c>
      <c r="AD68" s="4">
        <v>7147.7682000000004</v>
      </c>
      <c r="AE68" s="4">
        <v>38688.006200000003</v>
      </c>
      <c r="AF68" s="4">
        <v>33398.610699999997</v>
      </c>
      <c r="AG68" s="4">
        <v>5289.3954000000003</v>
      </c>
      <c r="AH68" s="4">
        <v>5905.8344999999999</v>
      </c>
    </row>
    <row r="69" spans="1:34" x14ac:dyDescent="0.2">
      <c r="A69" s="3">
        <v>43525</v>
      </c>
      <c r="B69" s="4">
        <v>207629.11</v>
      </c>
      <c r="C69" s="4">
        <v>14556.1695</v>
      </c>
      <c r="D69" s="4">
        <v>9170.5692999999992</v>
      </c>
      <c r="E69" s="4">
        <v>5385.6003000000001</v>
      </c>
      <c r="F69" s="5">
        <v>16383.795899999999</v>
      </c>
      <c r="G69" s="4">
        <v>6501.3344999999999</v>
      </c>
      <c r="H69" s="4">
        <v>9882.4613000000008</v>
      </c>
      <c r="I69" s="4">
        <v>496.86840000000001</v>
      </c>
      <c r="J69" s="5">
        <v>164191.98120000001</v>
      </c>
      <c r="K69" s="4">
        <v>18669.727699999999</v>
      </c>
      <c r="L69" s="4">
        <v>145522.25349999999</v>
      </c>
      <c r="M69" s="4">
        <v>5839.8607000000002</v>
      </c>
      <c r="N69" s="4">
        <v>5665.8368</v>
      </c>
      <c r="O69" s="4">
        <v>174.0239</v>
      </c>
      <c r="P69" s="4">
        <v>0</v>
      </c>
      <c r="Q69" s="4">
        <v>288.09899999999999</v>
      </c>
      <c r="R69" s="4">
        <v>288.09899999999999</v>
      </c>
      <c r="S69" s="4">
        <v>5872.3352000000004</v>
      </c>
      <c r="T69" s="4">
        <v>-20715.061399999999</v>
      </c>
      <c r="U69" s="4">
        <v>228344.17139999999</v>
      </c>
      <c r="V69" s="4">
        <v>119768.2657</v>
      </c>
      <c r="W69" s="4">
        <v>39589.597000000002</v>
      </c>
      <c r="X69" s="4">
        <v>80178.668799999999</v>
      </c>
      <c r="Y69" s="4">
        <v>52015.670299999998</v>
      </c>
      <c r="Z69" s="4">
        <v>827.58500000000004</v>
      </c>
      <c r="AA69" s="4">
        <v>51188.085299999999</v>
      </c>
      <c r="AB69" s="4">
        <v>11273.4833</v>
      </c>
      <c r="AC69" s="4">
        <v>3899.1840000000002</v>
      </c>
      <c r="AD69" s="4">
        <v>7374.2992999999997</v>
      </c>
      <c r="AE69" s="4">
        <v>38565.338199999998</v>
      </c>
      <c r="AF69" s="4">
        <v>33252.821900000003</v>
      </c>
      <c r="AG69" s="4">
        <v>5312.5163000000002</v>
      </c>
      <c r="AH69" s="4">
        <v>6721.4138000000003</v>
      </c>
    </row>
    <row r="70" spans="1:34" x14ac:dyDescent="0.2">
      <c r="A70" s="3">
        <v>43617</v>
      </c>
      <c r="B70" s="4">
        <v>213507.49830000001</v>
      </c>
      <c r="C70" s="4">
        <v>16994.359400000001</v>
      </c>
      <c r="D70" s="4">
        <v>10985.292100000001</v>
      </c>
      <c r="E70" s="4">
        <v>6009.0672999999997</v>
      </c>
      <c r="F70" s="5">
        <v>16733.989799999999</v>
      </c>
      <c r="G70" s="4">
        <v>6470.6260000000002</v>
      </c>
      <c r="H70" s="4">
        <v>10263.363799999999</v>
      </c>
      <c r="I70" s="4">
        <v>321.3494</v>
      </c>
      <c r="J70" s="5">
        <v>167397.0226</v>
      </c>
      <c r="K70" s="4">
        <v>18717.4611</v>
      </c>
      <c r="L70" s="4">
        <v>148679.56150000001</v>
      </c>
      <c r="M70" s="4">
        <v>5990.8068999999996</v>
      </c>
      <c r="N70" s="4">
        <v>5765.9749000000002</v>
      </c>
      <c r="O70" s="4">
        <v>224.83199999999999</v>
      </c>
      <c r="P70" s="4">
        <v>0</v>
      </c>
      <c r="Q70" s="4">
        <v>294.76029999999997</v>
      </c>
      <c r="R70" s="4">
        <v>294.76029999999997</v>
      </c>
      <c r="S70" s="4">
        <v>5775.21</v>
      </c>
      <c r="T70" s="4">
        <v>-22369.431100000002</v>
      </c>
      <c r="U70" s="4">
        <v>235876.92929999999</v>
      </c>
      <c r="V70" s="4">
        <v>122185.5134</v>
      </c>
      <c r="W70" s="4">
        <v>41320.054900000003</v>
      </c>
      <c r="X70" s="4">
        <v>80865.458499999993</v>
      </c>
      <c r="Y70" s="4">
        <v>55496.2255</v>
      </c>
      <c r="Z70" s="4">
        <v>981.03359999999998</v>
      </c>
      <c r="AA70" s="4">
        <v>54515.191899999998</v>
      </c>
      <c r="AB70" s="4">
        <v>11992.873900000001</v>
      </c>
      <c r="AC70" s="4">
        <v>4800.8292000000001</v>
      </c>
      <c r="AD70" s="4">
        <v>7192.0447000000004</v>
      </c>
      <c r="AE70" s="4">
        <v>38797.840799999998</v>
      </c>
      <c r="AF70" s="4">
        <v>33358.015700000004</v>
      </c>
      <c r="AG70" s="4">
        <v>5439.8251</v>
      </c>
      <c r="AH70" s="4">
        <v>7404.4757</v>
      </c>
    </row>
    <row r="71" spans="1:34" x14ac:dyDescent="0.2">
      <c r="A71" s="3">
        <v>43709</v>
      </c>
      <c r="B71" s="4">
        <v>221438.06890000001</v>
      </c>
      <c r="C71" s="4">
        <v>18634.412799999998</v>
      </c>
      <c r="D71" s="4">
        <v>12466.5463</v>
      </c>
      <c r="E71" s="4">
        <v>6167.8665000000001</v>
      </c>
      <c r="F71" s="5">
        <v>17684.119200000001</v>
      </c>
      <c r="G71" s="4">
        <v>7403.3624</v>
      </c>
      <c r="H71" s="4">
        <v>10280.756799999999</v>
      </c>
      <c r="I71" s="4">
        <v>699.35080000000005</v>
      </c>
      <c r="J71" s="5">
        <v>172607.36139999999</v>
      </c>
      <c r="K71" s="4">
        <v>19535.384300000002</v>
      </c>
      <c r="L71" s="4">
        <v>153071.97709999999</v>
      </c>
      <c r="M71" s="4">
        <v>6262.2080999999998</v>
      </c>
      <c r="N71" s="4">
        <v>6037.4682000000003</v>
      </c>
      <c r="O71" s="4">
        <v>224.74</v>
      </c>
      <c r="P71" s="4">
        <v>0</v>
      </c>
      <c r="Q71" s="4">
        <v>291.79969999999997</v>
      </c>
      <c r="R71" s="4">
        <v>291.79969999999997</v>
      </c>
      <c r="S71" s="4">
        <v>5258.8167999999996</v>
      </c>
      <c r="T71" s="4">
        <v>-24564.7899</v>
      </c>
      <c r="U71" s="4">
        <v>246002.85870000001</v>
      </c>
      <c r="V71" s="4">
        <v>125841.5768</v>
      </c>
      <c r="W71" s="4">
        <v>42327.103499999997</v>
      </c>
      <c r="X71" s="4">
        <v>83514.473299999998</v>
      </c>
      <c r="Y71" s="4">
        <v>60742.823900000003</v>
      </c>
      <c r="Z71" s="4">
        <v>918.42150000000004</v>
      </c>
      <c r="AA71" s="4">
        <v>59824.402399999999</v>
      </c>
      <c r="AB71" s="4">
        <v>12858.064399999999</v>
      </c>
      <c r="AC71" s="4">
        <v>5390.9624000000003</v>
      </c>
      <c r="AD71" s="4">
        <v>7467.1019999999999</v>
      </c>
      <c r="AE71" s="4">
        <v>39096.876499999998</v>
      </c>
      <c r="AF71" s="4">
        <v>33581.582799999996</v>
      </c>
      <c r="AG71" s="4">
        <v>5515.2937000000002</v>
      </c>
      <c r="AH71" s="4">
        <v>7463.5171</v>
      </c>
    </row>
    <row r="72" spans="1:34" x14ac:dyDescent="0.2">
      <c r="A72" s="3">
        <v>43800</v>
      </c>
      <c r="B72" s="4">
        <v>235639.66510000001</v>
      </c>
      <c r="C72" s="4">
        <v>25295.327700000002</v>
      </c>
      <c r="D72" s="4">
        <v>16386.436000000002</v>
      </c>
      <c r="E72" s="4">
        <v>8908.8917000000001</v>
      </c>
      <c r="F72" s="5">
        <v>20902.029200000001</v>
      </c>
      <c r="G72" s="4">
        <v>8012.7312000000002</v>
      </c>
      <c r="H72" s="4">
        <v>12889.298000000001</v>
      </c>
      <c r="I72" s="4">
        <v>793.76689999999996</v>
      </c>
      <c r="J72" s="5">
        <v>177354.55170000001</v>
      </c>
      <c r="K72" s="4">
        <v>19580.6453</v>
      </c>
      <c r="L72" s="4">
        <v>157773.90640000001</v>
      </c>
      <c r="M72" s="4">
        <v>6912.8765999999996</v>
      </c>
      <c r="N72" s="4">
        <v>6321.3284000000003</v>
      </c>
      <c r="O72" s="4">
        <v>591.54819999999995</v>
      </c>
      <c r="P72" s="4">
        <v>0</v>
      </c>
      <c r="Q72" s="4">
        <v>315.67680000000001</v>
      </c>
      <c r="R72" s="4">
        <v>315.67680000000001</v>
      </c>
      <c r="S72" s="4">
        <v>4065.4362000000001</v>
      </c>
      <c r="T72" s="4">
        <v>-15443.2104</v>
      </c>
      <c r="U72" s="4">
        <v>251082.87549999999</v>
      </c>
      <c r="V72" s="4">
        <v>136038.48180000001</v>
      </c>
      <c r="W72" s="4">
        <v>48695.628599999996</v>
      </c>
      <c r="X72" s="4">
        <v>87342.853199999998</v>
      </c>
      <c r="Y72" s="4">
        <v>59347.676500000001</v>
      </c>
      <c r="Z72" s="4">
        <v>1267.5455999999999</v>
      </c>
      <c r="AA72" s="4">
        <v>58080.130899999996</v>
      </c>
      <c r="AB72" s="4">
        <v>14376.4292</v>
      </c>
      <c r="AC72" s="4">
        <v>7265.3743000000004</v>
      </c>
      <c r="AD72" s="4">
        <v>7111.0549000000001</v>
      </c>
      <c r="AE72" s="4">
        <v>32962.890599999999</v>
      </c>
      <c r="AF72" s="4">
        <v>27339.1777</v>
      </c>
      <c r="AG72" s="4">
        <v>5623.7129000000004</v>
      </c>
      <c r="AH72" s="4">
        <v>8357.3974999999991</v>
      </c>
    </row>
    <row r="73" spans="1:34" x14ac:dyDescent="0.2">
      <c r="A73" s="3">
        <v>43891</v>
      </c>
      <c r="B73" s="4">
        <v>251482.09020000001</v>
      </c>
      <c r="C73" s="4">
        <v>34956.947200000002</v>
      </c>
      <c r="D73" s="4">
        <v>24792.775099999999</v>
      </c>
      <c r="E73" s="4">
        <v>10164.1721</v>
      </c>
      <c r="F73" s="5">
        <v>18710.393899999999</v>
      </c>
      <c r="G73" s="4">
        <v>4400.2497000000003</v>
      </c>
      <c r="H73" s="4">
        <v>14310.1441</v>
      </c>
      <c r="I73" s="4">
        <v>1545.1894</v>
      </c>
      <c r="J73" s="5">
        <v>185044.9198</v>
      </c>
      <c r="K73" s="4">
        <v>21046.183199999999</v>
      </c>
      <c r="L73" s="4">
        <v>163998.7366</v>
      </c>
      <c r="M73" s="4">
        <v>6884.8492999999999</v>
      </c>
      <c r="N73" s="4">
        <v>6407.8482000000004</v>
      </c>
      <c r="O73" s="4">
        <v>477.00110000000001</v>
      </c>
      <c r="P73" s="4">
        <v>0</v>
      </c>
      <c r="Q73" s="4">
        <v>315.10809999999998</v>
      </c>
      <c r="R73" s="4">
        <v>315.10809999999998</v>
      </c>
      <c r="S73" s="4">
        <v>4024.6824999999999</v>
      </c>
      <c r="T73" s="4">
        <v>-7743.2731999999996</v>
      </c>
      <c r="U73" s="4">
        <v>259225.3634</v>
      </c>
      <c r="V73" s="4">
        <v>144705.5534</v>
      </c>
      <c r="W73" s="4">
        <v>50479.550300000003</v>
      </c>
      <c r="X73" s="4">
        <v>94226.003100000002</v>
      </c>
      <c r="Y73" s="4">
        <v>60505.9113</v>
      </c>
      <c r="Z73" s="4">
        <v>1760.5853</v>
      </c>
      <c r="AA73" s="4">
        <v>58745.325900000003</v>
      </c>
      <c r="AB73" s="4">
        <v>16169.2479</v>
      </c>
      <c r="AC73" s="4">
        <v>8644.5576000000001</v>
      </c>
      <c r="AD73" s="4">
        <v>7524.6903000000002</v>
      </c>
      <c r="AE73" s="4">
        <v>28639.181499999999</v>
      </c>
      <c r="AF73" s="4">
        <v>22808.462</v>
      </c>
      <c r="AG73" s="4">
        <v>5830.7195000000002</v>
      </c>
      <c r="AH73" s="4">
        <v>9205.4694</v>
      </c>
    </row>
    <row r="74" spans="1:34" x14ac:dyDescent="0.2">
      <c r="A74" s="3">
        <v>43983</v>
      </c>
      <c r="B74" s="4">
        <v>261766.03909999999</v>
      </c>
      <c r="C74" s="4">
        <v>36771.387600000002</v>
      </c>
      <c r="D74" s="4">
        <v>29485.3586</v>
      </c>
      <c r="E74" s="4">
        <v>7286.0290000000005</v>
      </c>
      <c r="F74" s="5">
        <v>27689.7886</v>
      </c>
      <c r="G74" s="4">
        <v>14175.6533</v>
      </c>
      <c r="H74" s="4">
        <v>13514.1353</v>
      </c>
      <c r="I74" s="4">
        <v>249.71459999999999</v>
      </c>
      <c r="J74" s="5">
        <v>187733.36569999999</v>
      </c>
      <c r="K74" s="4">
        <v>17400.976999999999</v>
      </c>
      <c r="L74" s="4">
        <v>170332.38879999999</v>
      </c>
      <c r="M74" s="4">
        <v>6738.9993000000004</v>
      </c>
      <c r="N74" s="4">
        <v>5572.6587</v>
      </c>
      <c r="O74" s="4">
        <v>1166.3406</v>
      </c>
      <c r="P74" s="4">
        <v>0</v>
      </c>
      <c r="Q74" s="4">
        <v>296.9622</v>
      </c>
      <c r="R74" s="4">
        <v>296.9622</v>
      </c>
      <c r="S74" s="4">
        <v>2285.8209999999999</v>
      </c>
      <c r="T74" s="4">
        <v>-14098.199000000001</v>
      </c>
      <c r="U74" s="4">
        <v>275864.23810000002</v>
      </c>
      <c r="V74" s="4">
        <v>142950.5558</v>
      </c>
      <c r="W74" s="4">
        <v>56734.947500000002</v>
      </c>
      <c r="X74" s="4">
        <v>86215.608300000007</v>
      </c>
      <c r="Y74" s="4">
        <v>64500.820599999999</v>
      </c>
      <c r="Z74" s="4">
        <v>1495.4992</v>
      </c>
      <c r="AA74" s="4">
        <v>63005.321499999998</v>
      </c>
      <c r="AB74" s="4">
        <v>30715.191500000001</v>
      </c>
      <c r="AC74" s="4">
        <v>23631.890599999999</v>
      </c>
      <c r="AD74" s="4">
        <v>7083.3009000000002</v>
      </c>
      <c r="AE74" s="4">
        <v>29068.752400000001</v>
      </c>
      <c r="AF74" s="4">
        <v>23135.8063</v>
      </c>
      <c r="AG74" s="4">
        <v>5932.9461000000001</v>
      </c>
      <c r="AH74" s="4">
        <v>8628.9177999999993</v>
      </c>
    </row>
    <row r="75" spans="1:34" x14ac:dyDescent="0.2">
      <c r="A75" s="3">
        <v>44075</v>
      </c>
      <c r="B75" s="4">
        <v>261450.45749999999</v>
      </c>
      <c r="C75" s="4">
        <v>39628.258900000001</v>
      </c>
      <c r="D75" s="4">
        <v>33453.570699999997</v>
      </c>
      <c r="E75" s="4">
        <v>6174.6881999999996</v>
      </c>
      <c r="F75" s="5">
        <v>26310.662799999998</v>
      </c>
      <c r="G75" s="4">
        <v>11548.161400000001</v>
      </c>
      <c r="H75" s="4">
        <v>14762.5013</v>
      </c>
      <c r="I75" s="4">
        <v>167.28710000000001</v>
      </c>
      <c r="J75" s="5">
        <v>185868.82709999999</v>
      </c>
      <c r="K75" s="4">
        <v>15136.858099999999</v>
      </c>
      <c r="L75" s="4">
        <v>170731.96900000001</v>
      </c>
      <c r="M75" s="4">
        <v>6786.6526999999996</v>
      </c>
      <c r="N75" s="4">
        <v>5616.8994000000002</v>
      </c>
      <c r="O75" s="4">
        <v>1169.7533000000001</v>
      </c>
      <c r="P75" s="4">
        <v>0</v>
      </c>
      <c r="Q75" s="4">
        <v>288.88369999999998</v>
      </c>
      <c r="R75" s="4">
        <v>288.88369999999998</v>
      </c>
      <c r="S75" s="4">
        <v>2399.8852999999999</v>
      </c>
      <c r="T75" s="4">
        <v>-9812.3222000000005</v>
      </c>
      <c r="U75" s="4">
        <v>271262.77970000001</v>
      </c>
      <c r="V75" s="4">
        <v>142564.3058</v>
      </c>
      <c r="W75" s="4">
        <v>65299.750699999997</v>
      </c>
      <c r="X75" s="4">
        <v>77264.555099999998</v>
      </c>
      <c r="Y75" s="4">
        <v>61654.557500000003</v>
      </c>
      <c r="Z75" s="4">
        <v>1052.3518999999999</v>
      </c>
      <c r="AA75" s="4">
        <v>60602.205499999996</v>
      </c>
      <c r="AB75" s="4">
        <v>32453.676899999999</v>
      </c>
      <c r="AC75" s="4">
        <v>26124.189399999999</v>
      </c>
      <c r="AD75" s="4">
        <v>6329.4874</v>
      </c>
      <c r="AE75" s="4">
        <v>26498.924500000001</v>
      </c>
      <c r="AF75" s="4">
        <v>20447.269899999999</v>
      </c>
      <c r="AG75" s="4">
        <v>6051.6545999999998</v>
      </c>
      <c r="AH75" s="4">
        <v>8091.3150999999998</v>
      </c>
    </row>
    <row r="76" spans="1:34" x14ac:dyDescent="0.2">
      <c r="A76" s="3">
        <v>44166</v>
      </c>
      <c r="B76" s="4">
        <v>261482.57990000001</v>
      </c>
      <c r="C76" s="4">
        <v>41556.815199999997</v>
      </c>
      <c r="D76" s="4">
        <v>35837.612099999998</v>
      </c>
      <c r="E76" s="4">
        <v>5719.2030000000004</v>
      </c>
      <c r="F76" s="5">
        <v>29263.745699999999</v>
      </c>
      <c r="G76" s="4">
        <v>11974.341399999999</v>
      </c>
      <c r="H76" s="4">
        <v>17289.404299999998</v>
      </c>
      <c r="I76" s="4">
        <v>-823.09559999999999</v>
      </c>
      <c r="J76" s="5">
        <v>182925.0018</v>
      </c>
      <c r="K76" s="4">
        <v>13792.0978</v>
      </c>
      <c r="L76" s="4">
        <v>169132.90400000001</v>
      </c>
      <c r="M76" s="4">
        <v>6489.9007000000001</v>
      </c>
      <c r="N76" s="4">
        <v>5462.3643000000002</v>
      </c>
      <c r="O76" s="4">
        <v>1027.5364</v>
      </c>
      <c r="P76" s="4">
        <v>0</v>
      </c>
      <c r="Q76" s="4">
        <v>303.50990000000002</v>
      </c>
      <c r="R76" s="4">
        <v>303.50990000000002</v>
      </c>
      <c r="S76" s="4">
        <v>1766.7021999999999</v>
      </c>
      <c r="T76" s="4">
        <v>-13269.0852</v>
      </c>
      <c r="U76" s="4">
        <v>274751.66509999998</v>
      </c>
      <c r="V76" s="4">
        <v>145632.90609999999</v>
      </c>
      <c r="W76" s="4">
        <v>69853.525399999999</v>
      </c>
      <c r="X76" s="4">
        <v>75779.380699999994</v>
      </c>
      <c r="Y76" s="4">
        <v>61366.427600000003</v>
      </c>
      <c r="Z76" s="4">
        <v>925.01</v>
      </c>
      <c r="AA76" s="4">
        <v>60441.417600000001</v>
      </c>
      <c r="AB76" s="4">
        <v>29314.940200000001</v>
      </c>
      <c r="AC76" s="4">
        <v>25012.536599999999</v>
      </c>
      <c r="AD76" s="4">
        <v>4302.4035999999996</v>
      </c>
      <c r="AE76" s="4">
        <v>29743.188699999999</v>
      </c>
      <c r="AF76" s="4">
        <v>23523.944800000001</v>
      </c>
      <c r="AG76" s="4">
        <v>6219.2438000000002</v>
      </c>
      <c r="AH76" s="4">
        <v>8694.2024999999994</v>
      </c>
    </row>
    <row r="77" spans="1:34" x14ac:dyDescent="0.2">
      <c r="A77" s="3">
        <v>44256</v>
      </c>
      <c r="B77" s="4">
        <v>262331.61719999998</v>
      </c>
      <c r="C77" s="4">
        <v>38542.529699999999</v>
      </c>
      <c r="D77" s="4">
        <v>33702.641499999998</v>
      </c>
      <c r="E77" s="4">
        <v>4839.8882000000003</v>
      </c>
      <c r="F77" s="5">
        <v>29881.467000000001</v>
      </c>
      <c r="G77" s="4">
        <v>12649.648999999999</v>
      </c>
      <c r="H77" s="4">
        <v>17231.817999999999</v>
      </c>
      <c r="I77" s="4">
        <v>-1032.9975999999999</v>
      </c>
      <c r="J77" s="5">
        <v>185532.00829999999</v>
      </c>
      <c r="K77" s="4">
        <v>13882.7513</v>
      </c>
      <c r="L77" s="4">
        <v>171649.25700000001</v>
      </c>
      <c r="M77" s="4">
        <v>6420.0091000000002</v>
      </c>
      <c r="N77" s="4">
        <v>5463.0178999999998</v>
      </c>
      <c r="O77" s="4">
        <v>956.99130000000002</v>
      </c>
      <c r="P77" s="4">
        <v>0</v>
      </c>
      <c r="Q77" s="4">
        <v>306.11500000000001</v>
      </c>
      <c r="R77" s="4">
        <v>306.11500000000001</v>
      </c>
      <c r="S77" s="4">
        <v>2682.4856</v>
      </c>
      <c r="T77" s="4">
        <v>-16482.764299999999</v>
      </c>
      <c r="U77" s="4">
        <v>278814.38150000002</v>
      </c>
      <c r="V77" s="4">
        <v>143258.94649999999</v>
      </c>
      <c r="W77" s="4">
        <v>70744.352199999994</v>
      </c>
      <c r="X77" s="4">
        <v>72514.594200000007</v>
      </c>
      <c r="Y77" s="4">
        <v>61176.413</v>
      </c>
      <c r="Z77" s="4">
        <v>1121.8661</v>
      </c>
      <c r="AA77" s="4">
        <v>60054.546999999999</v>
      </c>
      <c r="AB77" s="4">
        <v>30871.017</v>
      </c>
      <c r="AC77" s="4">
        <v>26610.835500000001</v>
      </c>
      <c r="AD77" s="4">
        <v>4260.1814000000004</v>
      </c>
      <c r="AE77" s="4">
        <v>34796.964899999999</v>
      </c>
      <c r="AF77" s="4">
        <v>28499.5291</v>
      </c>
      <c r="AG77" s="4">
        <v>6297.4357</v>
      </c>
      <c r="AH77" s="4">
        <v>8711.0401999999995</v>
      </c>
    </row>
    <row r="78" spans="1:34" x14ac:dyDescent="0.2">
      <c r="A78" s="3">
        <v>44348</v>
      </c>
      <c r="B78" s="4">
        <v>278302.84539999999</v>
      </c>
      <c r="C78" s="4">
        <v>40225.847900000001</v>
      </c>
      <c r="D78" s="4">
        <v>34457.107300000003</v>
      </c>
      <c r="E78" s="4">
        <v>5768.7406000000001</v>
      </c>
      <c r="F78" s="5">
        <v>39902.861199999999</v>
      </c>
      <c r="G78" s="4">
        <v>21783.005000000001</v>
      </c>
      <c r="H78" s="4">
        <v>18119.856199999998</v>
      </c>
      <c r="I78" s="4">
        <v>-672.92089999999996</v>
      </c>
      <c r="J78" s="5">
        <v>188326.86850000001</v>
      </c>
      <c r="K78" s="4">
        <v>14237.6291</v>
      </c>
      <c r="L78" s="4">
        <v>174089.23929999999</v>
      </c>
      <c r="M78" s="4">
        <v>6076.1478999999999</v>
      </c>
      <c r="N78" s="4">
        <v>5476.2524999999996</v>
      </c>
      <c r="O78" s="4">
        <v>599.8954</v>
      </c>
      <c r="P78" s="4">
        <v>0</v>
      </c>
      <c r="Q78" s="4">
        <v>301.43700000000001</v>
      </c>
      <c r="R78" s="4">
        <v>301.43700000000001</v>
      </c>
      <c r="S78" s="4">
        <v>4142.6039000000001</v>
      </c>
      <c r="T78" s="4">
        <v>-8743.3014000000003</v>
      </c>
      <c r="U78" s="4">
        <v>287046.14679999999</v>
      </c>
      <c r="V78" s="4">
        <v>152405.0422</v>
      </c>
      <c r="W78" s="4">
        <v>79941.361900000004</v>
      </c>
      <c r="X78" s="4">
        <v>72463.680300000007</v>
      </c>
      <c r="Y78" s="4">
        <v>57090.746400000004</v>
      </c>
      <c r="Z78" s="4">
        <v>764.27890000000002</v>
      </c>
      <c r="AA78" s="4">
        <v>56326.467499999999</v>
      </c>
      <c r="AB78" s="4">
        <v>37324.740400000002</v>
      </c>
      <c r="AC78" s="4">
        <v>33840.346299999997</v>
      </c>
      <c r="AD78" s="4">
        <v>3484.3941</v>
      </c>
      <c r="AE78" s="4">
        <v>30630.085299999999</v>
      </c>
      <c r="AF78" s="4">
        <v>24162.829600000001</v>
      </c>
      <c r="AG78" s="4">
        <v>6467.2556999999997</v>
      </c>
      <c r="AH78" s="4">
        <v>9595.5324999999993</v>
      </c>
    </row>
    <row r="79" spans="1:34" x14ac:dyDescent="0.2">
      <c r="A79" s="3">
        <v>44440</v>
      </c>
      <c r="B79" s="4">
        <v>289391.40720000002</v>
      </c>
      <c r="C79" s="4">
        <v>40015.309099999999</v>
      </c>
      <c r="D79" s="4">
        <v>29295.771100000002</v>
      </c>
      <c r="E79" s="4">
        <v>10719.5381</v>
      </c>
      <c r="F79" s="5">
        <v>43873.6633</v>
      </c>
      <c r="G79" s="4">
        <v>25115.0743</v>
      </c>
      <c r="H79" s="4">
        <v>18758.589</v>
      </c>
      <c r="I79" s="4">
        <v>-11.8725</v>
      </c>
      <c r="J79" s="5">
        <v>194759.97959999999</v>
      </c>
      <c r="K79" s="4">
        <v>15146.684600000001</v>
      </c>
      <c r="L79" s="4">
        <v>179613.29500000001</v>
      </c>
      <c r="M79" s="4">
        <v>6204.8233</v>
      </c>
      <c r="N79" s="4">
        <v>5832.1967999999997</v>
      </c>
      <c r="O79" s="4">
        <v>372.62650000000002</v>
      </c>
      <c r="P79" s="4">
        <v>0</v>
      </c>
      <c r="Q79" s="4">
        <v>320.52600000000001</v>
      </c>
      <c r="R79" s="4">
        <v>320.52600000000001</v>
      </c>
      <c r="S79" s="4">
        <v>4228.9782999999998</v>
      </c>
      <c r="T79" s="4">
        <v>-5948.7001</v>
      </c>
      <c r="U79" s="4">
        <v>295340.10729999997</v>
      </c>
      <c r="V79" s="4">
        <v>157563.40640000001</v>
      </c>
      <c r="W79" s="4">
        <v>80424.312600000005</v>
      </c>
      <c r="X79" s="4">
        <v>77139.093800000002</v>
      </c>
      <c r="Y79" s="4">
        <v>56242.246200000001</v>
      </c>
      <c r="Z79" s="4">
        <v>1129.2868000000001</v>
      </c>
      <c r="AA79" s="4">
        <v>55112.9594</v>
      </c>
      <c r="AB79" s="4">
        <v>39234.076200000003</v>
      </c>
      <c r="AC79" s="4">
        <v>34695.251799999998</v>
      </c>
      <c r="AD79" s="4">
        <v>4538.8244000000004</v>
      </c>
      <c r="AE79" s="4">
        <v>31501.7402</v>
      </c>
      <c r="AF79" s="4">
        <v>24980.3213</v>
      </c>
      <c r="AG79" s="4">
        <v>6521.4188999999997</v>
      </c>
      <c r="AH79" s="4">
        <v>10798.6384</v>
      </c>
    </row>
    <row r="80" spans="1:34" x14ac:dyDescent="0.2">
      <c r="A80" s="3">
        <v>44531</v>
      </c>
      <c r="B80" s="4">
        <v>293820.69949999999</v>
      </c>
      <c r="C80" s="4">
        <v>32991.308400000002</v>
      </c>
      <c r="D80" s="4">
        <v>24543.791700000002</v>
      </c>
      <c r="E80" s="4">
        <v>8447.5167000000001</v>
      </c>
      <c r="F80" s="5">
        <v>49883.105000000003</v>
      </c>
      <c r="G80" s="4">
        <v>27515.687399999999</v>
      </c>
      <c r="H80" s="4">
        <v>22367.417600000001</v>
      </c>
      <c r="I80" s="4">
        <v>-420.5213</v>
      </c>
      <c r="J80" s="5">
        <v>201366.76990000001</v>
      </c>
      <c r="K80" s="4">
        <v>17088.454300000001</v>
      </c>
      <c r="L80" s="4">
        <v>184278.3156</v>
      </c>
      <c r="M80" s="4">
        <v>6255.7447000000002</v>
      </c>
      <c r="N80" s="4">
        <v>6042.3765000000003</v>
      </c>
      <c r="O80" s="4">
        <v>213.3682</v>
      </c>
      <c r="P80" s="4">
        <v>0</v>
      </c>
      <c r="Q80" s="4">
        <v>351.20569999999998</v>
      </c>
      <c r="R80" s="4">
        <v>351.20569999999998</v>
      </c>
      <c r="S80" s="4">
        <v>3393.0871000000002</v>
      </c>
      <c r="T80" s="4">
        <v>-1054.3870999999999</v>
      </c>
      <c r="U80" s="4">
        <v>294875.08669999999</v>
      </c>
      <c r="V80" s="4">
        <v>157272.39139999999</v>
      </c>
      <c r="W80" s="4">
        <v>81704.967300000004</v>
      </c>
      <c r="X80" s="4">
        <v>75567.424199999994</v>
      </c>
      <c r="Y80" s="4">
        <v>58455.589200000002</v>
      </c>
      <c r="Z80" s="4">
        <v>1013.8022999999999</v>
      </c>
      <c r="AA80" s="4">
        <v>57441.786899999999</v>
      </c>
      <c r="AB80" s="4">
        <v>39814.095500000003</v>
      </c>
      <c r="AC80" s="4">
        <v>34181.739699999998</v>
      </c>
      <c r="AD80" s="4">
        <v>5632.3558000000003</v>
      </c>
      <c r="AE80" s="4">
        <v>29654.612400000002</v>
      </c>
      <c r="AF80" s="4">
        <v>23007.318800000001</v>
      </c>
      <c r="AG80" s="4">
        <v>6647.2936</v>
      </c>
      <c r="AH80" s="4">
        <v>9678.3981999999996</v>
      </c>
    </row>
    <row r="81" spans="1:34" x14ac:dyDescent="0.2">
      <c r="A81" s="3">
        <v>44621</v>
      </c>
      <c r="B81" s="4">
        <v>296862.69630000001</v>
      </c>
      <c r="C81" s="4">
        <v>49614.316700000003</v>
      </c>
      <c r="D81" s="4">
        <v>42015.266000000003</v>
      </c>
      <c r="E81" s="4">
        <v>7599.0505999999996</v>
      </c>
      <c r="F81" s="5">
        <v>32014.857199999999</v>
      </c>
      <c r="G81" s="4">
        <v>10812.7161</v>
      </c>
      <c r="H81" s="4">
        <v>21202.141100000001</v>
      </c>
      <c r="I81" s="4">
        <v>-2788.3762999999999</v>
      </c>
      <c r="J81" s="5">
        <v>204146.22070000001</v>
      </c>
      <c r="K81" s="4">
        <v>17635.2166</v>
      </c>
      <c r="L81" s="4">
        <v>186511.00399999999</v>
      </c>
      <c r="M81" s="4">
        <v>6336.2156000000004</v>
      </c>
      <c r="N81" s="4">
        <v>6210.4129999999996</v>
      </c>
      <c r="O81" s="4">
        <v>125.8026</v>
      </c>
      <c r="P81" s="4">
        <v>0</v>
      </c>
      <c r="Q81" s="4">
        <v>370.95659999999998</v>
      </c>
      <c r="R81" s="4">
        <v>370.95659999999998</v>
      </c>
      <c r="S81" s="4">
        <v>7168.5059000000001</v>
      </c>
      <c r="T81" s="4">
        <v>-5226.5676999999996</v>
      </c>
      <c r="U81" s="4">
        <v>302089.26409999997</v>
      </c>
      <c r="V81" s="4">
        <v>155861.31340000001</v>
      </c>
      <c r="W81" s="4">
        <v>76327.362699999998</v>
      </c>
      <c r="X81" s="4">
        <v>79533.950700000001</v>
      </c>
      <c r="Y81" s="4">
        <v>58981.650300000001</v>
      </c>
      <c r="Z81" s="4">
        <v>1070.1461999999999</v>
      </c>
      <c r="AA81" s="4">
        <v>57911.504099999998</v>
      </c>
      <c r="AB81" s="4">
        <v>39134.984199999999</v>
      </c>
      <c r="AC81" s="4">
        <v>33834.183599999997</v>
      </c>
      <c r="AD81" s="4">
        <v>5300.8005000000003</v>
      </c>
      <c r="AE81" s="4">
        <v>33963.3485</v>
      </c>
      <c r="AF81" s="4">
        <v>27020.524000000001</v>
      </c>
      <c r="AG81" s="4">
        <v>6942.8244999999997</v>
      </c>
      <c r="AH81" s="4">
        <v>14147.967699999999</v>
      </c>
    </row>
    <row r="82" spans="1:34" x14ac:dyDescent="0.2">
      <c r="A82" s="3">
        <v>44713</v>
      </c>
      <c r="B82" s="4">
        <v>304663.33049999998</v>
      </c>
      <c r="C82" s="4">
        <v>32477.655200000001</v>
      </c>
      <c r="D82" s="4">
        <v>24839.9732</v>
      </c>
      <c r="E82" s="4">
        <v>7637.6819999999998</v>
      </c>
      <c r="F82" s="5">
        <v>47507.560799999999</v>
      </c>
      <c r="G82" s="4">
        <v>25563.8577</v>
      </c>
      <c r="H82" s="4">
        <v>21943.703099999999</v>
      </c>
      <c r="I82" s="4">
        <v>-2408.5632000000001</v>
      </c>
      <c r="J82" s="5">
        <v>214844.87299999999</v>
      </c>
      <c r="K82" s="4">
        <v>20980.236000000001</v>
      </c>
      <c r="L82" s="4">
        <v>193864.63699999999</v>
      </c>
      <c r="M82" s="4">
        <v>6620.0123999999996</v>
      </c>
      <c r="N82" s="4">
        <v>6545.7975999999999</v>
      </c>
      <c r="O82" s="4">
        <v>74.214799999999997</v>
      </c>
      <c r="P82" s="4">
        <v>0</v>
      </c>
      <c r="Q82" s="4">
        <v>391.96980000000002</v>
      </c>
      <c r="R82" s="4">
        <v>391.96980000000002</v>
      </c>
      <c r="S82" s="4">
        <v>5229.8225000000002</v>
      </c>
      <c r="T82" s="4">
        <v>-4274.4694</v>
      </c>
      <c r="U82" s="4">
        <v>308937.79989999998</v>
      </c>
      <c r="V82" s="4">
        <v>159488.83809999999</v>
      </c>
      <c r="W82" s="4">
        <v>71105.002099999998</v>
      </c>
      <c r="X82" s="4">
        <v>88383.835999999996</v>
      </c>
      <c r="Y82" s="4">
        <v>63258.233200000002</v>
      </c>
      <c r="Z82" s="4">
        <v>1146.0161000000001</v>
      </c>
      <c r="AA82" s="4">
        <v>62112.217100000002</v>
      </c>
      <c r="AB82" s="4">
        <v>42506.347500000003</v>
      </c>
      <c r="AC82" s="4">
        <v>35015.190999999999</v>
      </c>
      <c r="AD82" s="4">
        <v>7491.1565000000001</v>
      </c>
      <c r="AE82" s="4">
        <v>32606.2618</v>
      </c>
      <c r="AF82" s="4">
        <v>25314.346699999998</v>
      </c>
      <c r="AG82" s="4">
        <v>7291.9151000000002</v>
      </c>
      <c r="AH82" s="4">
        <v>11078.119199999999</v>
      </c>
    </row>
    <row r="83" spans="1:34" x14ac:dyDescent="0.2">
      <c r="A83" s="3">
        <v>44805</v>
      </c>
      <c r="B83" s="4">
        <v>309651.24849999999</v>
      </c>
      <c r="C83" s="4">
        <v>37588.440900000001</v>
      </c>
      <c r="D83" s="4">
        <v>28796.3495</v>
      </c>
      <c r="E83" s="4">
        <v>8792.0913999999993</v>
      </c>
      <c r="F83" s="5">
        <v>43588.329599999997</v>
      </c>
      <c r="G83" s="4">
        <v>20973.599999999999</v>
      </c>
      <c r="H83" s="4">
        <v>22614.7297</v>
      </c>
      <c r="I83" s="4">
        <v>-3097.0455000000002</v>
      </c>
      <c r="J83" s="5">
        <v>220664.3995</v>
      </c>
      <c r="K83" s="4">
        <v>22345.355100000001</v>
      </c>
      <c r="L83" s="4">
        <v>198319.04449999999</v>
      </c>
      <c r="M83" s="4">
        <v>6765.3190999999997</v>
      </c>
      <c r="N83" s="4">
        <v>6685.5330000000004</v>
      </c>
      <c r="O83" s="4">
        <v>79.786100000000005</v>
      </c>
      <c r="P83" s="4">
        <v>0</v>
      </c>
      <c r="Q83" s="4">
        <v>416.74950000000001</v>
      </c>
      <c r="R83" s="4">
        <v>416.74950000000001</v>
      </c>
      <c r="S83" s="4">
        <v>3725.0553</v>
      </c>
      <c r="T83" s="4">
        <v>737.81299999999999</v>
      </c>
      <c r="U83" s="4">
        <v>308913.43550000002</v>
      </c>
      <c r="V83" s="4">
        <v>161399.57389999999</v>
      </c>
      <c r="W83" s="4">
        <v>65720.002299999993</v>
      </c>
      <c r="X83" s="4">
        <v>95679.571599999996</v>
      </c>
      <c r="Y83" s="4">
        <v>61714.368900000001</v>
      </c>
      <c r="Z83" s="4">
        <v>990.42200000000003</v>
      </c>
      <c r="AA83" s="4">
        <v>60723.946900000003</v>
      </c>
      <c r="AB83" s="4">
        <v>42446.848700000002</v>
      </c>
      <c r="AC83" s="4">
        <v>35231.815300000002</v>
      </c>
      <c r="AD83" s="4">
        <v>7215.0333000000001</v>
      </c>
      <c r="AE83" s="4">
        <v>32435.774099999999</v>
      </c>
      <c r="AF83" s="4">
        <v>24953.985499999999</v>
      </c>
      <c r="AG83" s="4">
        <v>7481.7885999999999</v>
      </c>
      <c r="AH83" s="4">
        <v>10916.8699</v>
      </c>
    </row>
    <row r="84" spans="1:34" x14ac:dyDescent="0.2">
      <c r="A84" s="3">
        <v>44896</v>
      </c>
      <c r="B84" s="4">
        <v>314300.05440000002</v>
      </c>
      <c r="C84" s="4">
        <v>36816.375899999999</v>
      </c>
      <c r="D84" s="4">
        <v>28098.4967</v>
      </c>
      <c r="E84" s="4">
        <v>8717.8791999999994</v>
      </c>
      <c r="F84" s="5">
        <v>49755.628299999997</v>
      </c>
      <c r="G84" s="4">
        <v>26028.7755</v>
      </c>
      <c r="H84" s="4">
        <v>23726.852800000001</v>
      </c>
      <c r="I84" s="4">
        <v>-4144.3702999999996</v>
      </c>
      <c r="J84" s="5">
        <v>222234.0491</v>
      </c>
      <c r="K84" s="4">
        <v>22151.9833</v>
      </c>
      <c r="L84" s="4">
        <v>200082.06580000001</v>
      </c>
      <c r="M84" s="4">
        <v>6693.8687</v>
      </c>
      <c r="N84" s="4">
        <v>6310.4237999999996</v>
      </c>
      <c r="O84" s="4">
        <v>383.44490000000002</v>
      </c>
      <c r="P84" s="4">
        <v>0</v>
      </c>
      <c r="Q84" s="4">
        <v>431.23180000000002</v>
      </c>
      <c r="R84" s="4">
        <v>431.23180000000002</v>
      </c>
      <c r="S84" s="4">
        <v>2513.2707999999998</v>
      </c>
      <c r="T84" s="4">
        <v>-350.62329999999997</v>
      </c>
      <c r="U84" s="4">
        <v>314650.6777</v>
      </c>
      <c r="V84" s="4">
        <v>165236.56630000001</v>
      </c>
      <c r="W84" s="4">
        <v>64774.241199999997</v>
      </c>
      <c r="X84" s="4">
        <v>100462.3251</v>
      </c>
      <c r="Y84" s="4">
        <v>66066.689899999998</v>
      </c>
      <c r="Z84" s="4">
        <v>1150.4019000000001</v>
      </c>
      <c r="AA84" s="4">
        <v>64916.288</v>
      </c>
      <c r="AB84" s="4">
        <v>40256.955800000003</v>
      </c>
      <c r="AC84" s="4">
        <v>33812.695599999999</v>
      </c>
      <c r="AD84" s="4">
        <v>6444.2602999999999</v>
      </c>
      <c r="AE84" s="4">
        <v>33445.859100000001</v>
      </c>
      <c r="AF84" s="4">
        <v>25264.926200000002</v>
      </c>
      <c r="AG84" s="4">
        <v>8180.9328999999998</v>
      </c>
      <c r="AH84" s="4">
        <v>9644.6065999999992</v>
      </c>
    </row>
    <row r="85" spans="1:34" x14ac:dyDescent="0.2">
      <c r="A85" s="3">
        <v>44986</v>
      </c>
      <c r="B85" s="4">
        <v>315649.25449999998</v>
      </c>
      <c r="C85" s="4">
        <v>36849.955699999999</v>
      </c>
      <c r="D85" s="4">
        <v>27899.238600000001</v>
      </c>
      <c r="E85" s="4">
        <v>8950.7170000000006</v>
      </c>
      <c r="F85" s="5">
        <v>51730.595800000003</v>
      </c>
      <c r="G85" s="4">
        <v>30322.113000000001</v>
      </c>
      <c r="H85" s="4">
        <v>21408.482800000002</v>
      </c>
      <c r="I85" s="4">
        <v>-4732.0042000000003</v>
      </c>
      <c r="J85" s="5">
        <v>223189.51819999999</v>
      </c>
      <c r="K85" s="4">
        <v>22204.1041</v>
      </c>
      <c r="L85" s="4">
        <v>200985.41409999999</v>
      </c>
      <c r="M85" s="4">
        <v>6460.1368000000002</v>
      </c>
      <c r="N85" s="4">
        <v>6323.4867999999997</v>
      </c>
      <c r="O85" s="4">
        <v>136.65</v>
      </c>
      <c r="P85" s="4">
        <v>0</v>
      </c>
      <c r="Q85" s="4">
        <v>427.71019999999999</v>
      </c>
      <c r="R85" s="4">
        <v>427.71019999999999</v>
      </c>
      <c r="S85" s="4">
        <v>1723.3421000000001</v>
      </c>
      <c r="T85" s="4">
        <v>703.89089999999999</v>
      </c>
      <c r="U85" s="4">
        <v>314945.36369999999</v>
      </c>
      <c r="V85" s="4">
        <v>165458.68729999999</v>
      </c>
      <c r="W85" s="4">
        <v>61751.148999999998</v>
      </c>
      <c r="X85" s="4">
        <v>103707.5383</v>
      </c>
      <c r="Y85" s="4">
        <v>66758.854000000007</v>
      </c>
      <c r="Z85" s="4">
        <v>1370.1369</v>
      </c>
      <c r="AA85" s="4">
        <v>65388.717100000002</v>
      </c>
      <c r="AB85" s="4">
        <v>40224.648800000003</v>
      </c>
      <c r="AC85" s="4">
        <v>33641.732000000004</v>
      </c>
      <c r="AD85" s="4">
        <v>6582.9168</v>
      </c>
      <c r="AE85" s="4">
        <v>32532.602800000001</v>
      </c>
      <c r="AF85" s="4">
        <v>24144.517400000001</v>
      </c>
      <c r="AG85" s="4">
        <v>8388.0853999999999</v>
      </c>
      <c r="AH85" s="4">
        <v>9970.5707999999995</v>
      </c>
    </row>
    <row r="86" spans="1:34" x14ac:dyDescent="0.2">
      <c r="A86" s="3">
        <v>45078</v>
      </c>
      <c r="B86" s="4">
        <v>317791.52610000002</v>
      </c>
      <c r="C86" s="4">
        <v>34421.790099999998</v>
      </c>
      <c r="D86" s="4">
        <v>25536.430799999998</v>
      </c>
      <c r="E86" s="4">
        <v>8885.3593000000001</v>
      </c>
      <c r="F86" s="5">
        <v>53712.746599999999</v>
      </c>
      <c r="G86" s="4">
        <v>32197.160899999999</v>
      </c>
      <c r="H86" s="4">
        <v>21515.5857</v>
      </c>
      <c r="I86" s="4">
        <v>-3641.1205</v>
      </c>
      <c r="J86" s="5">
        <v>224399.63879999999</v>
      </c>
      <c r="K86" s="4">
        <v>23105.502100000002</v>
      </c>
      <c r="L86" s="4">
        <v>201294.1367</v>
      </c>
      <c r="M86" s="4">
        <v>6920.7366000000002</v>
      </c>
      <c r="N86" s="4">
        <v>6510.1904000000004</v>
      </c>
      <c r="O86" s="4">
        <v>410.54629999999997</v>
      </c>
      <c r="P86" s="4">
        <v>0</v>
      </c>
      <c r="Q86" s="4">
        <v>423.5077</v>
      </c>
      <c r="R86" s="4">
        <v>423.5077</v>
      </c>
      <c r="S86" s="4">
        <v>1554.2266999999999</v>
      </c>
      <c r="T86" s="4">
        <v>658.60569999999996</v>
      </c>
      <c r="U86" s="4">
        <v>317132.9204</v>
      </c>
      <c r="V86" s="4">
        <v>165455.70199999999</v>
      </c>
      <c r="W86" s="4">
        <v>60350.769500000002</v>
      </c>
      <c r="X86" s="4">
        <v>105104.9325</v>
      </c>
      <c r="Y86" s="4">
        <v>66503.144499999995</v>
      </c>
      <c r="Z86" s="4">
        <v>1507.9054000000001</v>
      </c>
      <c r="AA86" s="4">
        <v>64995.239099999999</v>
      </c>
      <c r="AB86" s="4">
        <v>40798.996599999999</v>
      </c>
      <c r="AC86" s="4">
        <v>33789.104500000001</v>
      </c>
      <c r="AD86" s="4">
        <v>7009.8921</v>
      </c>
      <c r="AE86" s="4">
        <v>34051.242899999997</v>
      </c>
      <c r="AF86" s="4">
        <v>25462.515899999999</v>
      </c>
      <c r="AG86" s="4">
        <v>8588.7270000000008</v>
      </c>
      <c r="AH86" s="4">
        <v>10323.8343</v>
      </c>
    </row>
    <row r="87" spans="1:34" x14ac:dyDescent="0.2">
      <c r="A87" s="3">
        <v>45170</v>
      </c>
      <c r="B87" s="4">
        <v>322797.40740000003</v>
      </c>
      <c r="C87" s="4">
        <v>33302.464599999999</v>
      </c>
      <c r="D87" s="4">
        <v>24629.804800000002</v>
      </c>
      <c r="E87" s="4">
        <v>8672.6599000000006</v>
      </c>
      <c r="F87" s="5">
        <v>53242.091500000002</v>
      </c>
      <c r="G87" s="4">
        <v>31157.728500000001</v>
      </c>
      <c r="H87" s="4">
        <v>22084.363000000001</v>
      </c>
      <c r="I87" s="4">
        <v>-1949.9875999999999</v>
      </c>
      <c r="J87" s="5">
        <v>228466.36550000001</v>
      </c>
      <c r="K87" s="4">
        <v>25033.331099999999</v>
      </c>
      <c r="L87" s="4">
        <v>203433.0344</v>
      </c>
      <c r="M87" s="4">
        <v>7435.1868999999997</v>
      </c>
      <c r="N87" s="4">
        <v>6864.6932999999999</v>
      </c>
      <c r="O87" s="4">
        <v>570.49350000000004</v>
      </c>
      <c r="P87" s="4">
        <v>0</v>
      </c>
      <c r="Q87" s="4">
        <v>435.94200000000001</v>
      </c>
      <c r="R87" s="4">
        <v>435.94200000000001</v>
      </c>
      <c r="S87" s="4">
        <v>1865.3444999999999</v>
      </c>
      <c r="T87" s="4">
        <v>2746.2588999999998</v>
      </c>
      <c r="U87" s="4">
        <v>320051.14860000001</v>
      </c>
      <c r="V87" s="4">
        <v>165827.26749999999</v>
      </c>
      <c r="W87" s="4">
        <v>59743.120600000002</v>
      </c>
      <c r="X87" s="4">
        <v>106084.14690000001</v>
      </c>
      <c r="Y87" s="4">
        <v>64988.880700000002</v>
      </c>
      <c r="Z87" s="4">
        <v>1578.6075000000001</v>
      </c>
      <c r="AA87" s="4">
        <v>63410.273200000003</v>
      </c>
      <c r="AB87" s="4">
        <v>42842.4548</v>
      </c>
      <c r="AC87" s="4">
        <v>34917.866199999997</v>
      </c>
      <c r="AD87" s="4">
        <v>7924.5886</v>
      </c>
      <c r="AE87" s="4">
        <v>35799.917699999998</v>
      </c>
      <c r="AF87" s="4">
        <v>26947.949100000002</v>
      </c>
      <c r="AG87" s="4">
        <v>8851.9686000000002</v>
      </c>
      <c r="AH87" s="4">
        <v>10592.627899999999</v>
      </c>
    </row>
    <row r="88" spans="1:34" x14ac:dyDescent="0.2">
      <c r="A88" s="3">
        <v>45261</v>
      </c>
      <c r="B88" s="4">
        <v>326791.74320000003</v>
      </c>
      <c r="C88" s="4">
        <v>43108.228199999998</v>
      </c>
      <c r="D88" s="4">
        <v>32498.784100000001</v>
      </c>
      <c r="E88" s="4">
        <v>10609.444100000001</v>
      </c>
      <c r="F88" s="5">
        <v>46693.729700000004</v>
      </c>
      <c r="G88" s="4">
        <v>24166.450400000002</v>
      </c>
      <c r="H88" s="4">
        <v>22527.279299999998</v>
      </c>
      <c r="I88" s="4">
        <v>-2103.0158999999999</v>
      </c>
      <c r="J88" s="5">
        <v>230074.81520000001</v>
      </c>
      <c r="K88" s="4">
        <v>24105.859799999998</v>
      </c>
      <c r="L88" s="4">
        <v>205968.95540000001</v>
      </c>
      <c r="M88" s="4">
        <v>7718.3486999999996</v>
      </c>
      <c r="N88" s="4">
        <v>7097.5158000000001</v>
      </c>
      <c r="O88" s="4">
        <v>620.8329</v>
      </c>
      <c r="P88" s="4">
        <v>0</v>
      </c>
      <c r="Q88" s="4">
        <v>439.8279</v>
      </c>
      <c r="R88" s="4">
        <v>439.8279</v>
      </c>
      <c r="S88" s="4">
        <v>859.80939999999998</v>
      </c>
      <c r="T88" s="4">
        <v>858.74480000000005</v>
      </c>
      <c r="U88" s="4">
        <v>325932.99829999998</v>
      </c>
      <c r="V88" s="4">
        <v>167762.04699999999</v>
      </c>
      <c r="W88" s="4">
        <v>62741.484400000001</v>
      </c>
      <c r="X88" s="4">
        <v>105020.56269999999</v>
      </c>
      <c r="Y88" s="4">
        <v>67113.204299999998</v>
      </c>
      <c r="Z88" s="4">
        <v>1235.9734000000001</v>
      </c>
      <c r="AA88" s="4">
        <v>65877.230899999995</v>
      </c>
      <c r="AB88" s="4">
        <v>42991.148500000003</v>
      </c>
      <c r="AC88" s="4">
        <v>34958.715600000003</v>
      </c>
      <c r="AD88" s="4">
        <v>8032.433</v>
      </c>
      <c r="AE88" s="4">
        <v>38044.541599999997</v>
      </c>
      <c r="AF88" s="4">
        <v>29001.695800000001</v>
      </c>
      <c r="AG88" s="4">
        <v>9042.8459000000003</v>
      </c>
      <c r="AH88" s="4">
        <v>10022.0569</v>
      </c>
    </row>
    <row r="89" spans="1:34" x14ac:dyDescent="0.2">
      <c r="A89" s="3">
        <v>45352</v>
      </c>
      <c r="B89" s="4">
        <v>336591.85389999999</v>
      </c>
      <c r="C89" s="4">
        <v>56519.573700000001</v>
      </c>
      <c r="D89" s="4">
        <v>45377.294199999997</v>
      </c>
      <c r="E89" s="4">
        <v>11142.279500000001</v>
      </c>
      <c r="F89" s="5">
        <v>37864.163699999997</v>
      </c>
      <c r="G89" s="4">
        <v>14597.6299</v>
      </c>
      <c r="H89" s="4">
        <v>23266.533800000001</v>
      </c>
      <c r="I89" s="4">
        <v>-1399.6638</v>
      </c>
      <c r="J89" s="5">
        <v>233898.50409999999</v>
      </c>
      <c r="K89" s="4">
        <v>25831.6106</v>
      </c>
      <c r="L89" s="4">
        <v>208066.89350000001</v>
      </c>
      <c r="M89" s="4">
        <v>8119.4970999999996</v>
      </c>
      <c r="N89" s="4">
        <v>7723.9593000000004</v>
      </c>
      <c r="O89" s="4">
        <v>395.5378</v>
      </c>
      <c r="P89" s="4">
        <v>0</v>
      </c>
      <c r="Q89" s="4">
        <v>448.02850000000001</v>
      </c>
      <c r="R89" s="4">
        <v>448.02850000000001</v>
      </c>
      <c r="S89" s="4">
        <v>1141.7505000000001</v>
      </c>
      <c r="T89" s="4">
        <v>-929.73749999999995</v>
      </c>
      <c r="U89" s="4">
        <v>337521.59139999998</v>
      </c>
      <c r="V89" s="4">
        <v>173580.2647</v>
      </c>
      <c r="W89" s="4">
        <v>63275.286999999997</v>
      </c>
      <c r="X89" s="4">
        <v>110304.9777</v>
      </c>
      <c r="Y89" s="4">
        <v>69551.245800000004</v>
      </c>
      <c r="Z89" s="4">
        <v>896.88149999999996</v>
      </c>
      <c r="AA89" s="4">
        <v>68654.364300000001</v>
      </c>
      <c r="AB89" s="4">
        <v>43262.133900000001</v>
      </c>
      <c r="AC89" s="4">
        <v>34846.674500000001</v>
      </c>
      <c r="AD89" s="4">
        <v>8415.4593999999997</v>
      </c>
      <c r="AE89" s="4">
        <v>40841.943200000002</v>
      </c>
      <c r="AF89" s="4">
        <v>31626.334299999999</v>
      </c>
      <c r="AG89" s="4">
        <v>9215.6090000000004</v>
      </c>
      <c r="AH89" s="4">
        <v>10286.0036</v>
      </c>
    </row>
    <row r="90" spans="1:34" x14ac:dyDescent="0.2">
      <c r="A90" s="3">
        <v>45444</v>
      </c>
      <c r="B90" s="4">
        <v>318653.85759999999</v>
      </c>
      <c r="C90" s="4">
        <v>43655.8243</v>
      </c>
      <c r="D90" s="4">
        <v>35502.371700000003</v>
      </c>
      <c r="E90" s="4">
        <v>8153.4525000000003</v>
      </c>
      <c r="F90" s="5">
        <v>31671.3459</v>
      </c>
      <c r="G90" s="4">
        <v>9103.6178999999993</v>
      </c>
      <c r="H90" s="4">
        <v>22567.727999999999</v>
      </c>
      <c r="I90" s="4">
        <v>-1400.5354</v>
      </c>
      <c r="J90" s="5">
        <v>234209.3119</v>
      </c>
      <c r="K90" s="4">
        <v>26730.695199999998</v>
      </c>
      <c r="L90" s="4">
        <v>207478.61670000001</v>
      </c>
      <c r="M90" s="4">
        <v>8687.3215</v>
      </c>
      <c r="N90" s="4">
        <v>7624.3652000000002</v>
      </c>
      <c r="O90" s="4">
        <v>1062.9563000000001</v>
      </c>
      <c r="P90" s="4">
        <v>0</v>
      </c>
      <c r="Q90" s="4">
        <v>441.73489999999998</v>
      </c>
      <c r="R90" s="4">
        <v>441.73489999999998</v>
      </c>
      <c r="S90" s="4">
        <v>1388.8543999999999</v>
      </c>
      <c r="T90" s="4">
        <v>-259.70490000000001</v>
      </c>
      <c r="U90" s="4">
        <v>318913.5625</v>
      </c>
      <c r="V90" s="4">
        <v>172222.69769999999</v>
      </c>
      <c r="W90" s="4">
        <v>62696.972099999999</v>
      </c>
      <c r="X90" s="4">
        <v>109525.72560000001</v>
      </c>
      <c r="Y90" s="4">
        <v>69328.210399999996</v>
      </c>
      <c r="Z90" s="4">
        <v>1065.3956000000001</v>
      </c>
      <c r="AA90" s="4">
        <v>68262.814799999993</v>
      </c>
      <c r="AB90" s="4">
        <v>25830.628000000001</v>
      </c>
      <c r="AC90" s="4">
        <v>17322.316200000001</v>
      </c>
      <c r="AD90" s="4">
        <v>8508.3119000000006</v>
      </c>
      <c r="AE90" s="4">
        <v>40383.302100000001</v>
      </c>
      <c r="AF90" s="4">
        <v>30856.843199999999</v>
      </c>
      <c r="AG90" s="4">
        <v>9526.4588999999996</v>
      </c>
      <c r="AH90" s="4">
        <v>11148.7243</v>
      </c>
    </row>
    <row r="91" spans="1:34" x14ac:dyDescent="0.2">
      <c r="A91" s="3">
        <v>45536</v>
      </c>
      <c r="B91" s="4">
        <v>308972.35940000002</v>
      </c>
      <c r="C91" s="4">
        <v>33509.993399999999</v>
      </c>
      <c r="D91" s="4">
        <v>26165.607100000001</v>
      </c>
      <c r="E91" s="4">
        <v>7344.3863000000001</v>
      </c>
      <c r="F91" s="5">
        <v>33326.2359</v>
      </c>
      <c r="G91" s="4">
        <v>9430.3179999999993</v>
      </c>
      <c r="H91" s="4">
        <v>23895.918000000001</v>
      </c>
      <c r="I91" s="4">
        <v>-2404.0457999999999</v>
      </c>
      <c r="J91" s="5">
        <v>233182.3413</v>
      </c>
      <c r="K91" s="4">
        <v>25039.4323</v>
      </c>
      <c r="L91" s="4">
        <v>208142.90890000001</v>
      </c>
      <c r="M91" s="4">
        <v>8734.2078000000001</v>
      </c>
      <c r="N91" s="4">
        <v>7745.6875</v>
      </c>
      <c r="O91" s="4">
        <v>988.52030000000002</v>
      </c>
      <c r="P91" s="4">
        <v>0</v>
      </c>
      <c r="Q91" s="4">
        <v>449.93810000000002</v>
      </c>
      <c r="R91" s="4">
        <v>449.93810000000002</v>
      </c>
      <c r="S91" s="4">
        <v>2173.6887999999999</v>
      </c>
      <c r="T91" s="4">
        <v>-4815.5514000000003</v>
      </c>
      <c r="U91" s="4">
        <v>313787.91080000001</v>
      </c>
      <c r="V91" s="4">
        <v>172294.76490000001</v>
      </c>
      <c r="W91" s="4">
        <v>61481.686199999996</v>
      </c>
      <c r="X91" s="4">
        <v>110813.0787</v>
      </c>
      <c r="Y91" s="4">
        <v>73378.403699999995</v>
      </c>
      <c r="Z91" s="4">
        <v>804.24530000000004</v>
      </c>
      <c r="AA91" s="4">
        <v>72574.1584</v>
      </c>
      <c r="AB91" s="4">
        <v>15562.895200000001</v>
      </c>
      <c r="AC91" s="4">
        <v>6915.3335999999999</v>
      </c>
      <c r="AD91" s="4">
        <v>8647.5616000000009</v>
      </c>
      <c r="AE91" s="4">
        <v>41571.101600000002</v>
      </c>
      <c r="AF91" s="4">
        <v>31865.489799999999</v>
      </c>
      <c r="AG91" s="4">
        <v>9705.6118999999999</v>
      </c>
      <c r="AH91" s="4">
        <v>10980.7454</v>
      </c>
    </row>
    <row r="92" spans="1:34" x14ac:dyDescent="0.2">
      <c r="A92" s="3">
        <v>45627</v>
      </c>
      <c r="B92" s="4">
        <v>318375.4694</v>
      </c>
      <c r="C92" s="4">
        <v>33239.859199999999</v>
      </c>
      <c r="D92" s="4">
        <v>25375.761399999999</v>
      </c>
      <c r="E92" s="4">
        <v>7864.0977999999996</v>
      </c>
      <c r="F92" s="5">
        <v>35633.136500000001</v>
      </c>
      <c r="G92" s="4">
        <v>9404.9148999999998</v>
      </c>
      <c r="H92" s="4">
        <v>26228.221600000001</v>
      </c>
      <c r="I92" s="4">
        <v>-1137.9331</v>
      </c>
      <c r="J92" s="5">
        <v>239997.10690000001</v>
      </c>
      <c r="K92" s="4">
        <v>27427.920399999999</v>
      </c>
      <c r="L92" s="4">
        <v>212569.18650000001</v>
      </c>
      <c r="M92" s="4">
        <v>9022.0107000000007</v>
      </c>
      <c r="N92" s="4">
        <v>8124.9569000000001</v>
      </c>
      <c r="O92" s="4">
        <v>897.05380000000002</v>
      </c>
      <c r="P92" s="4">
        <v>0</v>
      </c>
      <c r="Q92" s="4">
        <v>463.1164</v>
      </c>
      <c r="R92" s="4">
        <v>463.1164</v>
      </c>
      <c r="S92" s="4">
        <v>1158.1728000000001</v>
      </c>
      <c r="T92" s="4">
        <v>-1311.5699</v>
      </c>
      <c r="U92" s="4">
        <v>319687.0393</v>
      </c>
      <c r="V92" s="4">
        <v>177828.76629999999</v>
      </c>
      <c r="W92" s="4">
        <v>66316.146200000003</v>
      </c>
      <c r="X92" s="4">
        <v>111512.6201</v>
      </c>
      <c r="Y92" s="4">
        <v>72597.193400000004</v>
      </c>
      <c r="Z92" s="4">
        <v>784.51930000000004</v>
      </c>
      <c r="AA92" s="4">
        <v>71812.674100000004</v>
      </c>
      <c r="AB92" s="4">
        <v>15931.040999999999</v>
      </c>
      <c r="AC92" s="4">
        <v>7061.0082000000002</v>
      </c>
      <c r="AD92" s="4">
        <v>8870.0328000000009</v>
      </c>
      <c r="AE92" s="4">
        <v>42040.072200000002</v>
      </c>
      <c r="AF92" s="4">
        <v>31879.0111</v>
      </c>
      <c r="AG92" s="4">
        <v>10161.061100000001</v>
      </c>
      <c r="AH92" s="4">
        <v>11289.966399999999</v>
      </c>
    </row>
    <row r="93" spans="1:34" x14ac:dyDescent="0.2">
      <c r="A93" s="3">
        <v>45717</v>
      </c>
      <c r="B93" s="4">
        <v>316557.83240000001</v>
      </c>
      <c r="C93" s="4">
        <v>29340.198700000001</v>
      </c>
      <c r="D93" s="4">
        <v>22532.6895</v>
      </c>
      <c r="E93" s="4">
        <v>6807.5092000000004</v>
      </c>
      <c r="F93" s="5">
        <v>37456.813099999999</v>
      </c>
      <c r="G93" s="4">
        <v>14420.652899999999</v>
      </c>
      <c r="H93" s="4">
        <v>23036.160199999998</v>
      </c>
      <c r="I93" s="4">
        <v>-2027.6252999999999</v>
      </c>
      <c r="J93" s="5">
        <v>240708.61309999999</v>
      </c>
      <c r="K93" s="4">
        <v>26662.330099999999</v>
      </c>
      <c r="L93" s="4">
        <v>214046.28289999999</v>
      </c>
      <c r="M93" s="4">
        <v>9105.1679999999997</v>
      </c>
      <c r="N93" s="4">
        <v>8280.4624999999996</v>
      </c>
      <c r="O93" s="4">
        <v>824.70550000000003</v>
      </c>
      <c r="P93" s="4">
        <v>0</v>
      </c>
      <c r="Q93" s="4">
        <v>467.65789999999998</v>
      </c>
      <c r="R93" s="4">
        <v>467.65789999999998</v>
      </c>
      <c r="S93" s="4">
        <v>1507.0070000000001</v>
      </c>
      <c r="T93" s="4">
        <v>-6474.3662000000004</v>
      </c>
      <c r="U93" s="4">
        <v>323032.1986</v>
      </c>
      <c r="V93" s="4">
        <v>175788.67249999999</v>
      </c>
      <c r="W93" s="4">
        <v>64980.677499999998</v>
      </c>
      <c r="X93" s="4">
        <v>110807.995</v>
      </c>
      <c r="Y93" s="4">
        <v>73441.875100000005</v>
      </c>
      <c r="Z93" s="4">
        <v>1393.0208</v>
      </c>
      <c r="AA93" s="4">
        <v>72048.854300000006</v>
      </c>
      <c r="AB93" s="4">
        <v>15366.152400000001</v>
      </c>
      <c r="AC93" s="4">
        <v>9233.1209999999992</v>
      </c>
      <c r="AD93" s="4">
        <v>6133.0312999999996</v>
      </c>
      <c r="AE93" s="4">
        <v>47014.785400000001</v>
      </c>
      <c r="AF93" s="4">
        <v>36662.655899999998</v>
      </c>
      <c r="AG93" s="4">
        <v>10352.129499999999</v>
      </c>
      <c r="AH93" s="4">
        <v>11420.713299999999</v>
      </c>
    </row>
    <row r="94" spans="1:34" x14ac:dyDescent="0.2">
      <c r="A94" s="3">
        <v>45809</v>
      </c>
      <c r="B94" s="4">
        <v>323850.55650000001</v>
      </c>
      <c r="C94" s="4">
        <v>30323.426800000001</v>
      </c>
      <c r="D94" s="4">
        <v>22815.631700000002</v>
      </c>
      <c r="E94" s="4">
        <v>7507.7951000000003</v>
      </c>
      <c r="F94" s="5">
        <v>37166.845600000001</v>
      </c>
      <c r="G94" s="4">
        <v>12641.2775</v>
      </c>
      <c r="H94" s="4">
        <v>24525.568200000002</v>
      </c>
      <c r="I94" s="4">
        <v>-1968.258</v>
      </c>
      <c r="J94" s="5">
        <v>244073.75459999999</v>
      </c>
      <c r="K94" s="4">
        <v>28155.746800000001</v>
      </c>
      <c r="L94" s="4">
        <v>215918.0079</v>
      </c>
      <c r="M94" s="4">
        <v>9010.1293999999998</v>
      </c>
      <c r="N94" s="4">
        <v>8239.9761999999992</v>
      </c>
      <c r="O94" s="4">
        <v>770.15319999999997</v>
      </c>
      <c r="P94" s="4">
        <v>0</v>
      </c>
      <c r="Q94" s="4">
        <v>471.47669999999999</v>
      </c>
      <c r="R94" s="4">
        <v>471.47669999999999</v>
      </c>
      <c r="S94" s="4">
        <v>4773.1813000000002</v>
      </c>
      <c r="T94" s="4">
        <v>-10501.2153</v>
      </c>
      <c r="U94" s="4">
        <v>334351.77179999999</v>
      </c>
      <c r="V94" s="4">
        <v>178826.913</v>
      </c>
      <c r="W94" s="4">
        <v>65529.852099999996</v>
      </c>
      <c r="X94" s="4">
        <v>113297.0609</v>
      </c>
      <c r="Y94" s="4">
        <v>73980.681299999997</v>
      </c>
      <c r="Z94" s="4">
        <v>1572.5243</v>
      </c>
      <c r="AA94" s="4">
        <v>72408.156900000002</v>
      </c>
      <c r="AB94" s="4">
        <v>17405.042000000001</v>
      </c>
      <c r="AC94" s="4">
        <v>11481.5437</v>
      </c>
      <c r="AD94" s="4">
        <v>5923.4982</v>
      </c>
      <c r="AE94" s="4">
        <v>50634.163</v>
      </c>
      <c r="AF94" s="4">
        <v>40118.0602</v>
      </c>
      <c r="AG94" s="4">
        <v>10516.1029</v>
      </c>
      <c r="AH94" s="4">
        <v>13504.9725</v>
      </c>
    </row>
    <row r="95" spans="1:34" x14ac:dyDescent="0.2">
      <c r="A95" s="3">
        <v>45901</v>
      </c>
      <c r="B95" s="4">
        <v>327625.60259999998</v>
      </c>
      <c r="C95" s="4">
        <v>31834.593000000001</v>
      </c>
      <c r="D95" s="4">
        <v>23629.474399999999</v>
      </c>
      <c r="E95" s="4">
        <v>8205.1185999999998</v>
      </c>
      <c r="F95" s="5">
        <v>35692.831100000003</v>
      </c>
      <c r="G95" s="4">
        <v>11203.701300000001</v>
      </c>
      <c r="H95" s="4">
        <v>24489.129799999999</v>
      </c>
      <c r="I95" s="4">
        <v>-1192.6187</v>
      </c>
      <c r="J95" s="5">
        <v>245917.1979</v>
      </c>
      <c r="K95" s="4">
        <v>27409.504000000001</v>
      </c>
      <c r="L95" s="4">
        <v>218507.69399999999</v>
      </c>
      <c r="M95" s="4">
        <v>9558.2940999999992</v>
      </c>
      <c r="N95" s="4">
        <v>8678.1502</v>
      </c>
      <c r="O95" s="4">
        <v>880.14390000000003</v>
      </c>
      <c r="P95" s="4">
        <v>0</v>
      </c>
      <c r="Q95" s="4">
        <v>463.15809999999999</v>
      </c>
      <c r="R95" s="4">
        <v>463.15809999999999</v>
      </c>
      <c r="S95" s="4">
        <v>5352.1469999999999</v>
      </c>
      <c r="T95" s="4">
        <v>-12738.526599999999</v>
      </c>
      <c r="U95" s="4">
        <v>340364.12920000002</v>
      </c>
      <c r="V95" s="4">
        <v>178639.31479999999</v>
      </c>
      <c r="W95" s="4">
        <v>66536.570500000002</v>
      </c>
      <c r="X95" s="4">
        <v>112102.74430000001</v>
      </c>
      <c r="Y95" s="4">
        <v>75220.086500000005</v>
      </c>
      <c r="Z95" s="4">
        <v>1613.8536999999999</v>
      </c>
      <c r="AA95" s="4">
        <v>73606.232699999993</v>
      </c>
      <c r="AB95" s="4">
        <v>20074.326300000001</v>
      </c>
      <c r="AC95" s="4">
        <v>13390.1019</v>
      </c>
      <c r="AD95" s="4">
        <v>6684.2244000000001</v>
      </c>
      <c r="AE95" s="4">
        <v>53372.275399999999</v>
      </c>
      <c r="AF95" s="4">
        <v>42749.6823</v>
      </c>
      <c r="AG95" s="4">
        <v>10622.5931</v>
      </c>
      <c r="AH95" s="4">
        <v>13058.126200000001</v>
      </c>
    </row>
  </sheetData>
  <mergeCells count="2">
    <mergeCell ref="A1:AH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4A6B-93F0-DA48-BE64-DFD1E4E46E24}">
  <sheetPr>
    <tabColor rgb="FFC00000"/>
  </sheetPr>
  <dimension ref="A1:Z95"/>
  <sheetViews>
    <sheetView zoomScale="90" workbookViewId="0">
      <selection activeCell="D2" sqref="D2"/>
    </sheetView>
  </sheetViews>
  <sheetFormatPr baseColWidth="10" defaultRowHeight="16" x14ac:dyDescent="0.2"/>
  <sheetData>
    <row r="1" spans="1:26" x14ac:dyDescent="0.2">
      <c r="A1" s="7" t="s">
        <v>36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</row>
    <row r="2" spans="1:26" x14ac:dyDescent="0.2">
      <c r="A2" s="8" t="s">
        <v>161</v>
      </c>
      <c r="B2" s="8"/>
      <c r="C2" t="s">
        <v>162</v>
      </c>
      <c r="D2" s="1">
        <f>B5-I5-N5-Q5</f>
        <v>23570.496599999999</v>
      </c>
      <c r="E2" s="1">
        <f>C5+F5+J5+O5+P5</f>
        <v>23570.496499999997</v>
      </c>
      <c r="F2" t="s">
        <v>164</v>
      </c>
      <c r="G2" s="1">
        <f>S5-T5-U5</f>
        <v>-9.9999999463307176E-5</v>
      </c>
      <c r="H2">
        <v>0</v>
      </c>
    </row>
    <row r="3" spans="1:26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38</v>
      </c>
      <c r="R3" s="2" t="s">
        <v>39</v>
      </c>
      <c r="S3" s="2" t="s">
        <v>22</v>
      </c>
      <c r="T3" s="2" t="s">
        <v>40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</row>
    <row r="4" spans="1:26" x14ac:dyDescent="0.2">
      <c r="A4" s="3">
        <v>37591</v>
      </c>
      <c r="B4" s="4">
        <v>25522.821100000001</v>
      </c>
      <c r="C4" s="4">
        <v>5520.5765000000001</v>
      </c>
      <c r="D4" s="4">
        <v>28.169</v>
      </c>
      <c r="E4" s="4">
        <v>5492.4075000000003</v>
      </c>
      <c r="F4" s="5">
        <v>13820.462799999999</v>
      </c>
      <c r="G4" s="4">
        <v>97.052999999999997</v>
      </c>
      <c r="H4" s="4">
        <v>13723.409799999999</v>
      </c>
      <c r="I4" s="4">
        <v>-7.4755000000000003</v>
      </c>
      <c r="J4" s="5">
        <v>0</v>
      </c>
      <c r="K4" s="4">
        <v>0</v>
      </c>
      <c r="L4" s="4">
        <v>0</v>
      </c>
      <c r="M4" s="4">
        <v>6189.2572</v>
      </c>
      <c r="N4" s="4">
        <v>2619.6813999999999</v>
      </c>
      <c r="O4" s="4">
        <v>0</v>
      </c>
      <c r="P4" s="4">
        <v>3569.5756999999999</v>
      </c>
      <c r="Q4" s="4">
        <v>0</v>
      </c>
      <c r="R4" s="4">
        <v>0</v>
      </c>
      <c r="S4" s="4">
        <v>25522.819200000002</v>
      </c>
      <c r="T4" s="4">
        <v>25477.34</v>
      </c>
      <c r="U4" s="4">
        <v>45.479199999999999</v>
      </c>
      <c r="V4" s="4">
        <v>25522.821059907001</v>
      </c>
      <c r="W4" s="4">
        <v>3008.0245499990001</v>
      </c>
      <c r="X4" s="4">
        <v>1016.210070004</v>
      </c>
      <c r="Y4" s="4">
        <v>3181.2326399079998</v>
      </c>
      <c r="Z4" s="4">
        <v>18317.353799995999</v>
      </c>
    </row>
    <row r="5" spans="1:26" x14ac:dyDescent="0.2">
      <c r="A5" s="3">
        <v>37681</v>
      </c>
      <c r="B5" s="4">
        <v>26282.156900000002</v>
      </c>
      <c r="C5" s="4">
        <v>5514.3549999999996</v>
      </c>
      <c r="D5" s="4">
        <v>20.659199999999998</v>
      </c>
      <c r="E5" s="4">
        <v>5493.6957000000002</v>
      </c>
      <c r="F5" s="5">
        <v>14289.6949</v>
      </c>
      <c r="G5" s="4">
        <v>122.565</v>
      </c>
      <c r="H5" s="4">
        <v>14167.1299</v>
      </c>
      <c r="I5" s="4">
        <v>-13.8559</v>
      </c>
      <c r="J5" s="5">
        <v>0</v>
      </c>
      <c r="K5" s="4">
        <v>0</v>
      </c>
      <c r="L5" s="4">
        <v>0</v>
      </c>
      <c r="M5" s="4">
        <v>6491.9628000000002</v>
      </c>
      <c r="N5" s="4">
        <v>2725.5162</v>
      </c>
      <c r="O5" s="4">
        <v>0</v>
      </c>
      <c r="P5" s="4">
        <v>3766.4466000000002</v>
      </c>
      <c r="Q5" s="4">
        <v>0</v>
      </c>
      <c r="R5" s="4">
        <v>0</v>
      </c>
      <c r="S5" s="4">
        <v>26282.1551</v>
      </c>
      <c r="T5" s="4">
        <v>26232.261399999999</v>
      </c>
      <c r="U5" s="4">
        <v>49.893799999999999</v>
      </c>
      <c r="V5" s="4">
        <v>26282.156900000002</v>
      </c>
      <c r="W5" s="4">
        <v>3188.8056000000001</v>
      </c>
      <c r="X5" s="4">
        <v>1113.191</v>
      </c>
      <c r="Y5" s="4">
        <v>3303.1572000000001</v>
      </c>
      <c r="Z5" s="4">
        <v>18677.003000000001</v>
      </c>
    </row>
    <row r="6" spans="1:26" x14ac:dyDescent="0.2">
      <c r="A6" s="3">
        <v>37773</v>
      </c>
      <c r="B6" s="4">
        <v>27768.853800000001</v>
      </c>
      <c r="C6" s="4">
        <v>4973.2803000000004</v>
      </c>
      <c r="D6" s="4">
        <v>44.378500000000003</v>
      </c>
      <c r="E6" s="4">
        <v>4928.9017999999996</v>
      </c>
      <c r="F6" s="5">
        <v>14462.5888</v>
      </c>
      <c r="G6" s="4">
        <v>193.74600000000001</v>
      </c>
      <c r="H6" s="4">
        <v>14268.8428</v>
      </c>
      <c r="I6" s="4">
        <v>39.468299999999999</v>
      </c>
      <c r="J6" s="5">
        <v>0</v>
      </c>
      <c r="K6" s="4">
        <v>0</v>
      </c>
      <c r="L6" s="4">
        <v>0</v>
      </c>
      <c r="M6" s="4">
        <v>8293.5164000000004</v>
      </c>
      <c r="N6" s="4">
        <v>3439.2195000000002</v>
      </c>
      <c r="O6" s="4">
        <v>0</v>
      </c>
      <c r="P6" s="4">
        <v>4854.2969000000003</v>
      </c>
      <c r="Q6" s="4">
        <v>0</v>
      </c>
      <c r="R6" s="4">
        <v>0</v>
      </c>
      <c r="S6" s="4">
        <v>27768.8518</v>
      </c>
      <c r="T6" s="4">
        <v>27692.3138</v>
      </c>
      <c r="U6" s="4">
        <v>76.537999999999997</v>
      </c>
      <c r="V6" s="4">
        <v>27768.853800000001</v>
      </c>
      <c r="W6" s="4">
        <v>4248.8527999999997</v>
      </c>
      <c r="X6" s="4">
        <v>1116.4242999999999</v>
      </c>
      <c r="Y6" s="4">
        <v>4044.6635000000001</v>
      </c>
      <c r="Z6" s="4">
        <v>18358.913100000002</v>
      </c>
    </row>
    <row r="7" spans="1:26" x14ac:dyDescent="0.2">
      <c r="A7" s="3">
        <v>37865</v>
      </c>
      <c r="B7" s="4">
        <v>28842.771100000002</v>
      </c>
      <c r="C7" s="4">
        <v>4583.0811999999996</v>
      </c>
      <c r="D7" s="4">
        <v>46.772799999999997</v>
      </c>
      <c r="E7" s="4">
        <v>4536.3083999999999</v>
      </c>
      <c r="F7" s="5">
        <v>14116.556200000001</v>
      </c>
      <c r="G7" s="4">
        <v>298.40690000000001</v>
      </c>
      <c r="H7" s="4">
        <v>13818.1492</v>
      </c>
      <c r="I7" s="4">
        <v>188.8356</v>
      </c>
      <c r="J7" s="5">
        <v>0</v>
      </c>
      <c r="K7" s="4">
        <v>0</v>
      </c>
      <c r="L7" s="4">
        <v>0</v>
      </c>
      <c r="M7" s="4">
        <v>9954.2981999999993</v>
      </c>
      <c r="N7" s="4">
        <v>4106.473</v>
      </c>
      <c r="O7" s="4">
        <v>0</v>
      </c>
      <c r="P7" s="4">
        <v>5847.8252000000002</v>
      </c>
      <c r="Q7" s="4">
        <v>0</v>
      </c>
      <c r="R7" s="4">
        <v>0</v>
      </c>
      <c r="S7" s="4">
        <v>28842.7693</v>
      </c>
      <c r="T7" s="4">
        <v>28806.332600000002</v>
      </c>
      <c r="U7" s="4">
        <v>36.436700000000002</v>
      </c>
      <c r="V7" s="4">
        <v>28842.771100000002</v>
      </c>
      <c r="W7" s="4">
        <v>5198.7111000000004</v>
      </c>
      <c r="X7" s="4">
        <v>1043.7429</v>
      </c>
      <c r="Y7" s="4">
        <v>4755.5870999999997</v>
      </c>
      <c r="Z7" s="4">
        <v>17844.73</v>
      </c>
    </row>
    <row r="8" spans="1:26" x14ac:dyDescent="0.2">
      <c r="A8" s="3">
        <v>37956</v>
      </c>
      <c r="B8" s="4">
        <v>29579.542300000001</v>
      </c>
      <c r="C8" s="4">
        <v>4505.8576000000003</v>
      </c>
      <c r="D8" s="4">
        <v>71.661600000000007</v>
      </c>
      <c r="E8" s="4">
        <v>4434.1959999999999</v>
      </c>
      <c r="F8" s="5">
        <v>13510.096799999999</v>
      </c>
      <c r="G8" s="4">
        <v>337.30290000000002</v>
      </c>
      <c r="H8" s="4">
        <v>13172.793900000001</v>
      </c>
      <c r="I8" s="4">
        <v>333.1139</v>
      </c>
      <c r="J8" s="5">
        <v>0</v>
      </c>
      <c r="K8" s="4">
        <v>0</v>
      </c>
      <c r="L8" s="4">
        <v>0</v>
      </c>
      <c r="M8" s="4">
        <v>11230.474</v>
      </c>
      <c r="N8" s="4">
        <v>4423.1014999999998</v>
      </c>
      <c r="O8" s="4">
        <v>0</v>
      </c>
      <c r="P8" s="4">
        <v>6807.3724000000002</v>
      </c>
      <c r="Q8" s="4">
        <v>0</v>
      </c>
      <c r="R8" s="4">
        <v>0</v>
      </c>
      <c r="S8" s="4">
        <v>29579.5412</v>
      </c>
      <c r="T8" s="4">
        <v>29539.306799999998</v>
      </c>
      <c r="U8" s="4">
        <v>40.234400000000001</v>
      </c>
      <c r="V8" s="4">
        <v>29579.542300000001</v>
      </c>
      <c r="W8" s="4">
        <v>6197.1670000000004</v>
      </c>
      <c r="X8" s="4">
        <v>922.50639999999999</v>
      </c>
      <c r="Y8" s="4">
        <v>5033.3069999999998</v>
      </c>
      <c r="Z8" s="4">
        <v>17426.561900000001</v>
      </c>
    </row>
    <row r="9" spans="1:26" x14ac:dyDescent="0.2">
      <c r="A9" s="3">
        <v>38047</v>
      </c>
      <c r="B9" s="4">
        <v>30847.452600000001</v>
      </c>
      <c r="C9" s="4">
        <v>5326.1917000000003</v>
      </c>
      <c r="D9" s="4">
        <v>47.7879</v>
      </c>
      <c r="E9" s="4">
        <v>5278.4038</v>
      </c>
      <c r="F9" s="5">
        <v>13076.997499999999</v>
      </c>
      <c r="G9" s="4">
        <v>71.581599999999995</v>
      </c>
      <c r="H9" s="4">
        <v>13005.4159</v>
      </c>
      <c r="I9" s="4">
        <v>-23.557400000000001</v>
      </c>
      <c r="J9" s="5">
        <v>0</v>
      </c>
      <c r="K9" s="4">
        <v>0</v>
      </c>
      <c r="L9" s="4">
        <v>0</v>
      </c>
      <c r="M9" s="4">
        <v>12467.820900000001</v>
      </c>
      <c r="N9" s="4">
        <v>4495.8082999999997</v>
      </c>
      <c r="O9" s="4">
        <v>0</v>
      </c>
      <c r="P9" s="4">
        <v>7972.0126</v>
      </c>
      <c r="Q9" s="4">
        <v>0</v>
      </c>
      <c r="R9" s="4">
        <v>0</v>
      </c>
      <c r="S9" s="4">
        <v>30847.452000000001</v>
      </c>
      <c r="T9" s="4">
        <v>30794.536199999999</v>
      </c>
      <c r="U9" s="4">
        <v>52.915799999999997</v>
      </c>
      <c r="V9" s="4">
        <v>30847.452600000001</v>
      </c>
      <c r="W9" s="4">
        <v>7303.5050000000001</v>
      </c>
      <c r="X9" s="4">
        <v>877.697</v>
      </c>
      <c r="Y9" s="4">
        <v>5164.3158999999996</v>
      </c>
      <c r="Z9" s="4">
        <v>17501.934700000002</v>
      </c>
    </row>
    <row r="10" spans="1:26" x14ac:dyDescent="0.2">
      <c r="A10" s="3">
        <v>38139</v>
      </c>
      <c r="B10" s="4">
        <v>31299.234700000001</v>
      </c>
      <c r="C10" s="4">
        <v>5754.8202000000001</v>
      </c>
      <c r="D10" s="4">
        <v>58.207299999999996</v>
      </c>
      <c r="E10" s="4">
        <v>5696.6129000000001</v>
      </c>
      <c r="F10" s="5">
        <v>12815.109</v>
      </c>
      <c r="G10" s="4">
        <v>56.874400000000001</v>
      </c>
      <c r="H10" s="4">
        <v>12758.2345</v>
      </c>
      <c r="I10" s="4">
        <v>-48.518099999999997</v>
      </c>
      <c r="J10" s="5">
        <v>0</v>
      </c>
      <c r="K10" s="4">
        <v>0</v>
      </c>
      <c r="L10" s="4">
        <v>0</v>
      </c>
      <c r="M10" s="4">
        <v>12777.8236</v>
      </c>
      <c r="N10" s="4">
        <v>4590.8761000000004</v>
      </c>
      <c r="O10" s="4">
        <v>0</v>
      </c>
      <c r="P10" s="4">
        <v>8186.9475000000002</v>
      </c>
      <c r="Q10" s="4">
        <v>0</v>
      </c>
      <c r="R10" s="4">
        <v>0</v>
      </c>
      <c r="S10" s="4">
        <v>31299.234199999999</v>
      </c>
      <c r="T10" s="4">
        <v>31249.941299999999</v>
      </c>
      <c r="U10" s="4">
        <v>49.292900000000003</v>
      </c>
      <c r="V10" s="4">
        <v>31299.234700000001</v>
      </c>
      <c r="W10" s="4">
        <v>7455.4967999999999</v>
      </c>
      <c r="X10" s="4">
        <v>869.20870000000002</v>
      </c>
      <c r="Y10" s="4">
        <v>5322.3269</v>
      </c>
      <c r="Z10" s="4">
        <v>17652.202300000001</v>
      </c>
    </row>
    <row r="11" spans="1:26" x14ac:dyDescent="0.2">
      <c r="A11" s="3">
        <v>38231</v>
      </c>
      <c r="B11" s="4">
        <v>32613.132099999999</v>
      </c>
      <c r="C11" s="4">
        <v>6521.9831999999997</v>
      </c>
      <c r="D11" s="4">
        <v>79.703000000000003</v>
      </c>
      <c r="E11" s="4">
        <v>6442.2802000000001</v>
      </c>
      <c r="F11" s="5">
        <v>12373.3055</v>
      </c>
      <c r="G11" s="4">
        <v>118.41160000000001</v>
      </c>
      <c r="H11" s="4">
        <v>12254.893899999999</v>
      </c>
      <c r="I11" s="4">
        <v>188.839</v>
      </c>
      <c r="J11" s="5">
        <v>0</v>
      </c>
      <c r="K11" s="4">
        <v>0</v>
      </c>
      <c r="L11" s="4">
        <v>0</v>
      </c>
      <c r="M11" s="4">
        <v>13529.0044</v>
      </c>
      <c r="N11" s="4">
        <v>5223.6238000000003</v>
      </c>
      <c r="O11" s="4">
        <v>0</v>
      </c>
      <c r="P11" s="4">
        <v>8305.3806000000004</v>
      </c>
      <c r="Q11" s="4">
        <v>0</v>
      </c>
      <c r="R11" s="4">
        <v>0</v>
      </c>
      <c r="S11" s="4">
        <v>32613.131700000002</v>
      </c>
      <c r="T11" s="4">
        <v>32571.707699999999</v>
      </c>
      <c r="U11" s="4">
        <v>41.423999999999999</v>
      </c>
      <c r="V11" s="4">
        <v>32613.132099999999</v>
      </c>
      <c r="W11" s="4">
        <v>7465.7644</v>
      </c>
      <c r="X11" s="4">
        <v>547.73710000000005</v>
      </c>
      <c r="Y11" s="4">
        <v>6063.24</v>
      </c>
      <c r="Z11" s="4">
        <v>18536.390599999999</v>
      </c>
    </row>
    <row r="12" spans="1:26" x14ac:dyDescent="0.2">
      <c r="A12" s="3">
        <v>38322</v>
      </c>
      <c r="B12" s="4">
        <v>34074.016300000003</v>
      </c>
      <c r="C12" s="4">
        <v>6693.5564999999997</v>
      </c>
      <c r="D12" s="4">
        <v>67.368499999999997</v>
      </c>
      <c r="E12" s="4">
        <v>6626.1878999999999</v>
      </c>
      <c r="F12" s="5">
        <v>12262.688</v>
      </c>
      <c r="G12" s="4">
        <v>162.70779999999999</v>
      </c>
      <c r="H12" s="4">
        <v>12099.980299999999</v>
      </c>
      <c r="I12" s="4">
        <v>472.46260000000001</v>
      </c>
      <c r="J12" s="5">
        <v>0</v>
      </c>
      <c r="K12" s="4">
        <v>0</v>
      </c>
      <c r="L12" s="4">
        <v>0</v>
      </c>
      <c r="M12" s="4">
        <v>14645.3092</v>
      </c>
      <c r="N12" s="4">
        <v>5455.6147000000001</v>
      </c>
      <c r="O12" s="4">
        <v>0</v>
      </c>
      <c r="P12" s="4">
        <v>9189.6944999999996</v>
      </c>
      <c r="Q12" s="4">
        <v>0</v>
      </c>
      <c r="R12" s="4">
        <v>0</v>
      </c>
      <c r="S12" s="4">
        <v>34074.015599999999</v>
      </c>
      <c r="T12" s="4">
        <v>34026.979599999999</v>
      </c>
      <c r="U12" s="4">
        <v>47.036099999999998</v>
      </c>
      <c r="V12" s="4">
        <v>34074.016300000003</v>
      </c>
      <c r="W12" s="4">
        <v>8316.0915000000005</v>
      </c>
      <c r="X12" s="4">
        <v>826.56650000000002</v>
      </c>
      <c r="Y12" s="4">
        <v>6329.2177000000001</v>
      </c>
      <c r="Z12" s="4">
        <v>18602.140500000001</v>
      </c>
    </row>
    <row r="13" spans="1:26" x14ac:dyDescent="0.2">
      <c r="A13" s="3">
        <v>38412</v>
      </c>
      <c r="B13" s="4">
        <v>35273.7932</v>
      </c>
      <c r="C13" s="4">
        <v>7187.0810000000001</v>
      </c>
      <c r="D13" s="4">
        <v>49.2271</v>
      </c>
      <c r="E13" s="4">
        <v>7137.8539000000001</v>
      </c>
      <c r="F13" s="5">
        <v>12179.647300000001</v>
      </c>
      <c r="G13" s="4">
        <v>96.341300000000004</v>
      </c>
      <c r="H13" s="4">
        <v>12083.306</v>
      </c>
      <c r="I13" s="4">
        <v>127.3943</v>
      </c>
      <c r="J13" s="5">
        <v>0</v>
      </c>
      <c r="K13" s="4">
        <v>0</v>
      </c>
      <c r="L13" s="4">
        <v>0</v>
      </c>
      <c r="M13" s="4">
        <v>15779.670599999999</v>
      </c>
      <c r="N13" s="4">
        <v>5871.3269</v>
      </c>
      <c r="O13" s="4">
        <v>0</v>
      </c>
      <c r="P13" s="4">
        <v>9908.3436999999994</v>
      </c>
      <c r="Q13" s="4">
        <v>0</v>
      </c>
      <c r="R13" s="4">
        <v>0</v>
      </c>
      <c r="S13" s="4">
        <v>35273.791700000002</v>
      </c>
      <c r="T13" s="4">
        <v>35230.881999999998</v>
      </c>
      <c r="U13" s="4">
        <v>42.909700000000001</v>
      </c>
      <c r="V13" s="4">
        <v>35273.7932</v>
      </c>
      <c r="W13" s="4">
        <v>9096.8147000000008</v>
      </c>
      <c r="X13" s="4">
        <v>636.23739999999998</v>
      </c>
      <c r="Y13" s="4">
        <v>6682.8558999999996</v>
      </c>
      <c r="Z13" s="4">
        <v>18857.885300000002</v>
      </c>
    </row>
    <row r="14" spans="1:26" x14ac:dyDescent="0.2">
      <c r="A14" s="3">
        <v>38504</v>
      </c>
      <c r="B14" s="4">
        <v>36903.044000000002</v>
      </c>
      <c r="C14" s="4">
        <v>7627.7434000000003</v>
      </c>
      <c r="D14" s="4">
        <v>55.6066</v>
      </c>
      <c r="E14" s="4">
        <v>7572.1368000000002</v>
      </c>
      <c r="F14" s="5">
        <v>12435.682199999999</v>
      </c>
      <c r="G14" s="4">
        <v>84.252899999999997</v>
      </c>
      <c r="H14" s="4">
        <v>12351.429400000001</v>
      </c>
      <c r="I14" s="4">
        <v>148.9511</v>
      </c>
      <c r="J14" s="5">
        <v>0</v>
      </c>
      <c r="K14" s="4">
        <v>0</v>
      </c>
      <c r="L14" s="4">
        <v>0</v>
      </c>
      <c r="M14" s="4">
        <v>16690.667300000001</v>
      </c>
      <c r="N14" s="4">
        <v>6175.0438999999997</v>
      </c>
      <c r="O14" s="4">
        <v>0</v>
      </c>
      <c r="P14" s="4">
        <v>10515.6234</v>
      </c>
      <c r="Q14" s="4">
        <v>0</v>
      </c>
      <c r="R14" s="4">
        <v>0</v>
      </c>
      <c r="S14" s="4">
        <v>36903.042699999998</v>
      </c>
      <c r="T14" s="4">
        <v>36844.518900000003</v>
      </c>
      <c r="U14" s="4">
        <v>58.523699999999998</v>
      </c>
      <c r="V14" s="4">
        <v>36903.044000000002</v>
      </c>
      <c r="W14" s="4">
        <v>9706.3595999999998</v>
      </c>
      <c r="X14" s="4">
        <v>491.17739999999998</v>
      </c>
      <c r="Y14" s="4">
        <v>6984.3077000000003</v>
      </c>
      <c r="Z14" s="4">
        <v>19721.1993</v>
      </c>
    </row>
    <row r="15" spans="1:26" x14ac:dyDescent="0.2">
      <c r="A15" s="3">
        <v>38596</v>
      </c>
      <c r="B15" s="4">
        <v>38668.935100000002</v>
      </c>
      <c r="C15" s="4">
        <v>8031.1268</v>
      </c>
      <c r="D15" s="4">
        <v>63.082500000000003</v>
      </c>
      <c r="E15" s="4">
        <v>7968.0442999999996</v>
      </c>
      <c r="F15" s="5">
        <v>12189.249100000001</v>
      </c>
      <c r="G15" s="4">
        <v>90.120900000000006</v>
      </c>
      <c r="H15" s="4">
        <v>12099.128199999999</v>
      </c>
      <c r="I15" s="4">
        <v>384.14330000000001</v>
      </c>
      <c r="J15" s="5">
        <v>0</v>
      </c>
      <c r="K15" s="4">
        <v>0</v>
      </c>
      <c r="L15" s="4">
        <v>0</v>
      </c>
      <c r="M15" s="4">
        <v>18064.415799999999</v>
      </c>
      <c r="N15" s="4">
        <v>6492.6679999999997</v>
      </c>
      <c r="O15" s="4">
        <v>0</v>
      </c>
      <c r="P15" s="4">
        <v>11571.7479</v>
      </c>
      <c r="Q15" s="4">
        <v>0</v>
      </c>
      <c r="R15" s="4">
        <v>0</v>
      </c>
      <c r="S15" s="4">
        <v>38668.933599999997</v>
      </c>
      <c r="T15" s="4">
        <v>38633.131300000001</v>
      </c>
      <c r="U15" s="4">
        <v>35.802300000000002</v>
      </c>
      <c r="V15" s="4">
        <v>38668.935100000002</v>
      </c>
      <c r="W15" s="4">
        <v>10127.980100000001</v>
      </c>
      <c r="X15" s="4">
        <v>313.68009999999998</v>
      </c>
      <c r="Y15" s="4">
        <v>7936.4357</v>
      </c>
      <c r="Z15" s="4">
        <v>20290.839199999999</v>
      </c>
    </row>
    <row r="16" spans="1:26" x14ac:dyDescent="0.2">
      <c r="A16" s="3">
        <v>38687</v>
      </c>
      <c r="B16" s="4">
        <v>38650.048199999997</v>
      </c>
      <c r="C16" s="4">
        <v>8084.3554999999997</v>
      </c>
      <c r="D16" s="4">
        <v>79.431700000000006</v>
      </c>
      <c r="E16" s="4">
        <v>8004.9238999999998</v>
      </c>
      <c r="F16" s="5">
        <v>12224.0389</v>
      </c>
      <c r="G16" s="4">
        <v>77.998800000000003</v>
      </c>
      <c r="H16" s="4">
        <v>12146.0401</v>
      </c>
      <c r="I16" s="4">
        <v>387.09059999999999</v>
      </c>
      <c r="J16" s="5">
        <v>0</v>
      </c>
      <c r="K16" s="4">
        <v>0</v>
      </c>
      <c r="L16" s="4">
        <v>0</v>
      </c>
      <c r="M16" s="4">
        <v>17954.563200000001</v>
      </c>
      <c r="N16" s="4">
        <v>5899.6988000000001</v>
      </c>
      <c r="O16" s="4">
        <v>0</v>
      </c>
      <c r="P16" s="4">
        <v>12054.8644</v>
      </c>
      <c r="Q16" s="4">
        <v>0</v>
      </c>
      <c r="R16" s="4">
        <v>0</v>
      </c>
      <c r="S16" s="4">
        <v>38650.046999999999</v>
      </c>
      <c r="T16" s="4">
        <v>38608.968399999998</v>
      </c>
      <c r="U16" s="4">
        <v>41.078499999999998</v>
      </c>
      <c r="V16" s="4">
        <v>38650.048199999997</v>
      </c>
      <c r="W16" s="4">
        <v>11263.0434</v>
      </c>
      <c r="X16" s="4">
        <v>340.30799999999999</v>
      </c>
      <c r="Y16" s="4">
        <v>6691.5198</v>
      </c>
      <c r="Z16" s="4">
        <v>20355.177</v>
      </c>
    </row>
    <row r="17" spans="1:26" x14ac:dyDescent="0.2">
      <c r="A17" s="3">
        <v>38777</v>
      </c>
      <c r="B17" s="4">
        <v>41436.762300000002</v>
      </c>
      <c r="C17" s="4">
        <v>8555.0555999999997</v>
      </c>
      <c r="D17" s="4">
        <v>72.163799999999995</v>
      </c>
      <c r="E17" s="4">
        <v>8482.8917999999994</v>
      </c>
      <c r="F17" s="5">
        <v>12371.269899999999</v>
      </c>
      <c r="G17" s="4">
        <v>61.824300000000001</v>
      </c>
      <c r="H17" s="4">
        <v>12309.445599999999</v>
      </c>
      <c r="I17" s="4">
        <v>159.09</v>
      </c>
      <c r="J17" s="5">
        <v>0</v>
      </c>
      <c r="K17" s="4">
        <v>0</v>
      </c>
      <c r="L17" s="4">
        <v>0</v>
      </c>
      <c r="M17" s="4">
        <v>20351.346799999999</v>
      </c>
      <c r="N17" s="4">
        <v>6543.2978000000003</v>
      </c>
      <c r="O17" s="4">
        <v>0</v>
      </c>
      <c r="P17" s="4">
        <v>13808.049000000001</v>
      </c>
      <c r="Q17" s="4">
        <v>0</v>
      </c>
      <c r="R17" s="4">
        <v>0</v>
      </c>
      <c r="S17" s="4">
        <v>41436.760799999996</v>
      </c>
      <c r="T17" s="4">
        <v>41396.825799999999</v>
      </c>
      <c r="U17" s="4">
        <v>39.935000000000002</v>
      </c>
      <c r="V17" s="4">
        <v>41436.762300000002</v>
      </c>
      <c r="W17" s="4">
        <v>12833.706200000001</v>
      </c>
      <c r="X17" s="4">
        <v>288.7842</v>
      </c>
      <c r="Y17" s="4">
        <v>7517.6405999999997</v>
      </c>
      <c r="Z17" s="4">
        <v>20796.631300000001</v>
      </c>
    </row>
    <row r="18" spans="1:26" x14ac:dyDescent="0.2">
      <c r="A18" s="3">
        <v>38869</v>
      </c>
      <c r="B18" s="4">
        <v>41212.882100000003</v>
      </c>
      <c r="C18" s="4">
        <v>9077.1589000000004</v>
      </c>
      <c r="D18" s="4">
        <v>77.070099999999996</v>
      </c>
      <c r="E18" s="4">
        <v>9000.0887999999995</v>
      </c>
      <c r="F18" s="5">
        <v>12550.841</v>
      </c>
      <c r="G18" s="4">
        <v>113.18770000000001</v>
      </c>
      <c r="H18" s="4">
        <v>12437.6533</v>
      </c>
      <c r="I18" s="4">
        <v>-151.40610000000001</v>
      </c>
      <c r="J18" s="5">
        <v>0</v>
      </c>
      <c r="K18" s="4">
        <v>0</v>
      </c>
      <c r="L18" s="4">
        <v>0</v>
      </c>
      <c r="M18" s="4">
        <v>19736.288400000001</v>
      </c>
      <c r="N18" s="4">
        <v>6209.6315999999997</v>
      </c>
      <c r="O18" s="4">
        <v>0</v>
      </c>
      <c r="P18" s="4">
        <v>13526.656800000001</v>
      </c>
      <c r="Q18" s="4">
        <v>0</v>
      </c>
      <c r="R18" s="4">
        <v>0</v>
      </c>
      <c r="S18" s="4">
        <v>41212.881099999999</v>
      </c>
      <c r="T18" s="4">
        <v>41167.858899999999</v>
      </c>
      <c r="U18" s="4">
        <v>45.022100000000002</v>
      </c>
      <c r="V18" s="4">
        <v>41212.882100000003</v>
      </c>
      <c r="W18" s="4">
        <v>12589.4709</v>
      </c>
      <c r="X18" s="4">
        <v>206.71029999999999</v>
      </c>
      <c r="Y18" s="4">
        <v>7146.8175000000001</v>
      </c>
      <c r="Z18" s="4">
        <v>21269.8835</v>
      </c>
    </row>
    <row r="19" spans="1:26" x14ac:dyDescent="0.2">
      <c r="A19" s="3">
        <v>38961</v>
      </c>
      <c r="B19" s="4">
        <v>43747.353799999997</v>
      </c>
      <c r="C19" s="4">
        <v>8657.4424999999992</v>
      </c>
      <c r="D19" s="4">
        <v>35.866199999999999</v>
      </c>
      <c r="E19" s="4">
        <v>8621.5761999999995</v>
      </c>
      <c r="F19" s="5">
        <v>13666.886699999999</v>
      </c>
      <c r="G19" s="4">
        <v>86.062100000000001</v>
      </c>
      <c r="H19" s="4">
        <v>13580.824500000001</v>
      </c>
      <c r="I19" s="4">
        <v>-1.8128</v>
      </c>
      <c r="J19" s="5">
        <v>0</v>
      </c>
      <c r="K19" s="4">
        <v>0</v>
      </c>
      <c r="L19" s="4">
        <v>0</v>
      </c>
      <c r="M19" s="4">
        <v>21424.8374</v>
      </c>
      <c r="N19" s="4">
        <v>6964.9561000000003</v>
      </c>
      <c r="O19" s="4">
        <v>0</v>
      </c>
      <c r="P19" s="4">
        <v>14459.881299999999</v>
      </c>
      <c r="Q19" s="4">
        <v>0</v>
      </c>
      <c r="R19" s="4">
        <v>0</v>
      </c>
      <c r="S19" s="4">
        <v>43747.352899999998</v>
      </c>
      <c r="T19" s="4">
        <v>43712.971599999997</v>
      </c>
      <c r="U19" s="4">
        <v>34.381300000000003</v>
      </c>
      <c r="V19" s="4">
        <v>43747.353799999997</v>
      </c>
      <c r="W19" s="4">
        <v>13308.243</v>
      </c>
      <c r="X19" s="4">
        <v>118.1459</v>
      </c>
      <c r="Y19" s="4">
        <v>8116.5944</v>
      </c>
      <c r="Z19" s="4">
        <v>22204.370500000001</v>
      </c>
    </row>
    <row r="20" spans="1:26" x14ac:dyDescent="0.2">
      <c r="A20" s="3">
        <v>39052</v>
      </c>
      <c r="B20" s="4">
        <v>47739.360699999997</v>
      </c>
      <c r="C20" s="4">
        <v>8427.0285999999996</v>
      </c>
      <c r="D20" s="4">
        <v>66.493799999999993</v>
      </c>
      <c r="E20" s="4">
        <v>8360.5347999999994</v>
      </c>
      <c r="F20" s="5">
        <v>14672.239</v>
      </c>
      <c r="G20" s="4">
        <v>120.93300000000001</v>
      </c>
      <c r="H20" s="4">
        <v>14551.306</v>
      </c>
      <c r="I20" s="4">
        <v>8.72E-2</v>
      </c>
      <c r="J20" s="5">
        <v>0</v>
      </c>
      <c r="K20" s="4">
        <v>0</v>
      </c>
      <c r="L20" s="4">
        <v>0</v>
      </c>
      <c r="M20" s="4">
        <v>24640.006000000001</v>
      </c>
      <c r="N20" s="4">
        <v>8519.4418999999998</v>
      </c>
      <c r="O20" s="4">
        <v>0</v>
      </c>
      <c r="P20" s="4">
        <v>16120.5641</v>
      </c>
      <c r="Q20" s="4">
        <v>0</v>
      </c>
      <c r="R20" s="4">
        <v>0</v>
      </c>
      <c r="S20" s="4">
        <v>47739.360200000003</v>
      </c>
      <c r="T20" s="4">
        <v>47691.428800000002</v>
      </c>
      <c r="U20" s="4">
        <v>47.9313</v>
      </c>
      <c r="V20" s="4">
        <v>47739.360699999997</v>
      </c>
      <c r="W20" s="4">
        <v>14983.511200000001</v>
      </c>
      <c r="X20" s="4">
        <v>192.8888</v>
      </c>
      <c r="Y20" s="4">
        <v>9656.4948000000004</v>
      </c>
      <c r="Z20" s="4">
        <v>22906.465899999999</v>
      </c>
    </row>
    <row r="21" spans="1:26" x14ac:dyDescent="0.2">
      <c r="A21" s="3">
        <v>39142</v>
      </c>
      <c r="B21" s="4">
        <v>49866.921900000001</v>
      </c>
      <c r="C21" s="4">
        <v>9236.5915000000005</v>
      </c>
      <c r="D21" s="4">
        <v>48.4803</v>
      </c>
      <c r="E21" s="4">
        <v>9188.1111000000001</v>
      </c>
      <c r="F21" s="5">
        <v>14270.6176</v>
      </c>
      <c r="G21" s="4">
        <v>50.025599999999997</v>
      </c>
      <c r="H21" s="4">
        <v>14220.592000000001</v>
      </c>
      <c r="I21" s="4">
        <v>11.978300000000001</v>
      </c>
      <c r="J21" s="5">
        <v>0</v>
      </c>
      <c r="K21" s="4">
        <v>0</v>
      </c>
      <c r="L21" s="4">
        <v>0</v>
      </c>
      <c r="M21" s="4">
        <v>26347.7346</v>
      </c>
      <c r="N21" s="4">
        <v>9097.8140999999996</v>
      </c>
      <c r="O21" s="4">
        <v>0</v>
      </c>
      <c r="P21" s="4">
        <v>17249.9205</v>
      </c>
      <c r="Q21" s="4">
        <v>0</v>
      </c>
      <c r="R21" s="4">
        <v>0</v>
      </c>
      <c r="S21" s="4">
        <v>49866.921699999999</v>
      </c>
      <c r="T21" s="4">
        <v>49824.574399999998</v>
      </c>
      <c r="U21" s="4">
        <v>42.347299999999997</v>
      </c>
      <c r="V21" s="4">
        <v>49866.921900000001</v>
      </c>
      <c r="W21" s="4">
        <v>15668.7147</v>
      </c>
      <c r="X21" s="4">
        <v>118.1172</v>
      </c>
      <c r="Y21" s="4">
        <v>10679.019899999999</v>
      </c>
      <c r="Z21" s="4">
        <v>23401.070100000001</v>
      </c>
    </row>
    <row r="22" spans="1:26" x14ac:dyDescent="0.2">
      <c r="A22" s="3">
        <v>39234</v>
      </c>
      <c r="B22" s="4">
        <v>53668.161800000002</v>
      </c>
      <c r="C22" s="4">
        <v>9818.3711999999996</v>
      </c>
      <c r="D22" s="4">
        <v>39.903799999999997</v>
      </c>
      <c r="E22" s="4">
        <v>9778.4673999999995</v>
      </c>
      <c r="F22" s="5">
        <v>14328.429400000001</v>
      </c>
      <c r="G22" s="4">
        <v>32.770899999999997</v>
      </c>
      <c r="H22" s="4">
        <v>14295.6585</v>
      </c>
      <c r="I22" s="4">
        <v>40.673900000000003</v>
      </c>
      <c r="J22" s="5">
        <v>0</v>
      </c>
      <c r="K22" s="4">
        <v>0</v>
      </c>
      <c r="L22" s="4">
        <v>0</v>
      </c>
      <c r="M22" s="4">
        <v>29480.687300000001</v>
      </c>
      <c r="N22" s="4">
        <v>10602.7781</v>
      </c>
      <c r="O22" s="4">
        <v>0</v>
      </c>
      <c r="P22" s="4">
        <v>18877.909199999998</v>
      </c>
      <c r="Q22" s="4">
        <v>0</v>
      </c>
      <c r="R22" s="4">
        <v>0</v>
      </c>
      <c r="S22" s="4">
        <v>53668.161</v>
      </c>
      <c r="T22" s="4">
        <v>53630.277600000001</v>
      </c>
      <c r="U22" s="4">
        <v>37.883400000000002</v>
      </c>
      <c r="V22" s="4">
        <v>53668.161800000002</v>
      </c>
      <c r="W22" s="4">
        <v>17281.627700000001</v>
      </c>
      <c r="X22" s="4">
        <v>86.292400000000001</v>
      </c>
      <c r="Y22" s="4">
        <v>12199.059600000001</v>
      </c>
      <c r="Z22" s="4">
        <v>24101.182100000002</v>
      </c>
    </row>
    <row r="23" spans="1:26" x14ac:dyDescent="0.2">
      <c r="A23" s="3">
        <v>39326</v>
      </c>
      <c r="B23" s="4">
        <v>55386.677799999998</v>
      </c>
      <c r="C23" s="4">
        <v>9231.9181000000008</v>
      </c>
      <c r="D23" s="4">
        <v>46.798099999999998</v>
      </c>
      <c r="E23" s="4">
        <v>9185.1200000000008</v>
      </c>
      <c r="F23" s="5">
        <v>15338.9714</v>
      </c>
      <c r="G23" s="4">
        <v>169.1831</v>
      </c>
      <c r="H23" s="4">
        <v>15169.788399999999</v>
      </c>
      <c r="I23" s="4">
        <v>127.1129</v>
      </c>
      <c r="J23" s="5">
        <v>0</v>
      </c>
      <c r="K23" s="4">
        <v>0</v>
      </c>
      <c r="L23" s="4">
        <v>0</v>
      </c>
      <c r="M23" s="4">
        <v>30688.675299999999</v>
      </c>
      <c r="N23" s="4">
        <v>10150.5537</v>
      </c>
      <c r="O23" s="4">
        <v>0</v>
      </c>
      <c r="P23" s="4">
        <v>20538.121599999999</v>
      </c>
      <c r="Q23" s="4">
        <v>0</v>
      </c>
      <c r="R23" s="4">
        <v>0</v>
      </c>
      <c r="S23" s="4">
        <v>55386.676899999999</v>
      </c>
      <c r="T23" s="4">
        <v>55347.7952</v>
      </c>
      <c r="U23" s="4">
        <v>38.881799999999998</v>
      </c>
      <c r="V23" s="4">
        <v>55386.677799999998</v>
      </c>
      <c r="W23" s="4">
        <v>19025.9031</v>
      </c>
      <c r="X23" s="4">
        <v>350.16469999999998</v>
      </c>
      <c r="Y23" s="4">
        <v>11662.772199999999</v>
      </c>
      <c r="Z23" s="4">
        <v>24347.837800000001</v>
      </c>
    </row>
    <row r="24" spans="1:26" x14ac:dyDescent="0.2">
      <c r="A24" s="3">
        <v>39417</v>
      </c>
      <c r="B24" s="4">
        <v>56016.267399999997</v>
      </c>
      <c r="C24" s="4">
        <v>10426.085300000001</v>
      </c>
      <c r="D24" s="4">
        <v>76.8964</v>
      </c>
      <c r="E24" s="4">
        <v>10349.188899999999</v>
      </c>
      <c r="F24" s="5">
        <v>15493.434300000001</v>
      </c>
      <c r="G24" s="4">
        <v>23.698799999999999</v>
      </c>
      <c r="H24" s="4">
        <v>15469.7354</v>
      </c>
      <c r="I24" s="4">
        <v>229.5958</v>
      </c>
      <c r="J24" s="5">
        <v>0</v>
      </c>
      <c r="K24" s="4">
        <v>0</v>
      </c>
      <c r="L24" s="4">
        <v>0</v>
      </c>
      <c r="M24" s="4">
        <v>29867.151999999998</v>
      </c>
      <c r="N24" s="4">
        <v>9704.3801999999996</v>
      </c>
      <c r="O24" s="4">
        <v>0</v>
      </c>
      <c r="P24" s="4">
        <v>20162.771799999999</v>
      </c>
      <c r="Q24" s="4">
        <v>0</v>
      </c>
      <c r="R24" s="4">
        <v>0</v>
      </c>
      <c r="S24" s="4">
        <v>56016.266799999998</v>
      </c>
      <c r="T24" s="4">
        <v>55981.7333</v>
      </c>
      <c r="U24" s="4">
        <v>34.533499999999997</v>
      </c>
      <c r="V24" s="4">
        <v>56016.267399999997</v>
      </c>
      <c r="W24" s="4">
        <v>19166.7</v>
      </c>
      <c r="X24" s="4">
        <v>198.64109999999999</v>
      </c>
      <c r="Y24" s="4">
        <v>10700.451999999999</v>
      </c>
      <c r="Z24" s="4">
        <v>25950.474200000001</v>
      </c>
    </row>
    <row r="25" spans="1:26" x14ac:dyDescent="0.2">
      <c r="A25" s="3">
        <v>39508</v>
      </c>
      <c r="B25" s="4">
        <v>54060.263700000003</v>
      </c>
      <c r="C25" s="4">
        <v>10603.9931</v>
      </c>
      <c r="D25" s="4">
        <v>45.237000000000002</v>
      </c>
      <c r="E25" s="4">
        <v>10558.756100000001</v>
      </c>
      <c r="F25" s="5">
        <v>16236.382600000001</v>
      </c>
      <c r="G25" s="4">
        <v>48.025399999999998</v>
      </c>
      <c r="H25" s="4">
        <v>16188.3572</v>
      </c>
      <c r="I25" s="4">
        <v>897.58280000000002</v>
      </c>
      <c r="J25" s="5">
        <v>0</v>
      </c>
      <c r="K25" s="4">
        <v>0</v>
      </c>
      <c r="L25" s="4">
        <v>0</v>
      </c>
      <c r="M25" s="4">
        <v>26322.305199999999</v>
      </c>
      <c r="N25" s="4">
        <v>9886.8202999999994</v>
      </c>
      <c r="O25" s="4">
        <v>0</v>
      </c>
      <c r="P25" s="4">
        <v>16435.484899999999</v>
      </c>
      <c r="Q25" s="4">
        <v>0</v>
      </c>
      <c r="R25" s="4">
        <v>0</v>
      </c>
      <c r="S25" s="4">
        <v>54060.263099999996</v>
      </c>
      <c r="T25" s="4">
        <v>53997.695099999997</v>
      </c>
      <c r="U25" s="4">
        <v>62.567999999999998</v>
      </c>
      <c r="V25" s="4">
        <v>54060.263700000003</v>
      </c>
      <c r="W25" s="4">
        <v>16096.688099999999</v>
      </c>
      <c r="X25" s="4">
        <v>256.83870000000002</v>
      </c>
      <c r="Y25" s="4">
        <v>10225.617099999999</v>
      </c>
      <c r="Z25" s="4">
        <v>27481.1198</v>
      </c>
    </row>
    <row r="26" spans="1:26" x14ac:dyDescent="0.2">
      <c r="A26" s="3">
        <v>39600</v>
      </c>
      <c r="B26" s="4">
        <v>56719.685400000002</v>
      </c>
      <c r="C26" s="4">
        <v>10740.1973</v>
      </c>
      <c r="D26" s="4">
        <v>101.0613</v>
      </c>
      <c r="E26" s="4">
        <v>10639.136</v>
      </c>
      <c r="F26" s="5">
        <v>16373.3334</v>
      </c>
      <c r="G26" s="4">
        <v>5.3517000000000001</v>
      </c>
      <c r="H26" s="4">
        <v>16367.9817</v>
      </c>
      <c r="I26" s="4">
        <v>-847.20079999999996</v>
      </c>
      <c r="J26" s="5">
        <v>0</v>
      </c>
      <c r="K26" s="4">
        <v>0</v>
      </c>
      <c r="L26" s="4">
        <v>0</v>
      </c>
      <c r="M26" s="4">
        <v>30453.355599999999</v>
      </c>
      <c r="N26" s="4">
        <v>9560.9449999999997</v>
      </c>
      <c r="O26" s="4">
        <v>0</v>
      </c>
      <c r="P26" s="4">
        <v>20892.410500000002</v>
      </c>
      <c r="Q26" s="4">
        <v>0</v>
      </c>
      <c r="R26" s="4">
        <v>0</v>
      </c>
      <c r="S26" s="4">
        <v>56719.6849</v>
      </c>
      <c r="T26" s="4">
        <v>56612.836300000003</v>
      </c>
      <c r="U26" s="4">
        <v>106.8486</v>
      </c>
      <c r="V26" s="4">
        <v>56719.685400000002</v>
      </c>
      <c r="W26" s="4">
        <v>19487.097099999999</v>
      </c>
      <c r="X26" s="4">
        <v>212.93459999999999</v>
      </c>
      <c r="Y26" s="4">
        <v>10966.258400000001</v>
      </c>
      <c r="Z26" s="4">
        <v>26053.395199999999</v>
      </c>
    </row>
    <row r="27" spans="1:26" x14ac:dyDescent="0.2">
      <c r="A27" s="3">
        <v>39692</v>
      </c>
      <c r="B27" s="4">
        <v>52011.110500000003</v>
      </c>
      <c r="C27" s="4">
        <v>10454.4005</v>
      </c>
      <c r="D27" s="4">
        <v>118.7406</v>
      </c>
      <c r="E27" s="4">
        <v>10335.659900000001</v>
      </c>
      <c r="F27" s="5">
        <v>18544.8187</v>
      </c>
      <c r="G27" s="4">
        <v>31.182300000000001</v>
      </c>
      <c r="H27" s="4">
        <v>18513.636399999999</v>
      </c>
      <c r="I27" s="4">
        <v>-1136.4149</v>
      </c>
      <c r="J27" s="5">
        <v>0</v>
      </c>
      <c r="K27" s="4">
        <v>0</v>
      </c>
      <c r="L27" s="4">
        <v>0</v>
      </c>
      <c r="M27" s="4">
        <v>24148.306199999999</v>
      </c>
      <c r="N27" s="4">
        <v>9098.6753000000008</v>
      </c>
      <c r="O27" s="4">
        <v>0</v>
      </c>
      <c r="P27" s="4">
        <v>15049.6309</v>
      </c>
      <c r="Q27" s="4">
        <v>0</v>
      </c>
      <c r="R27" s="4">
        <v>0</v>
      </c>
      <c r="S27" s="4">
        <v>52011.109600000003</v>
      </c>
      <c r="T27" s="4">
        <v>51941.960099999997</v>
      </c>
      <c r="U27" s="4">
        <v>69.149500000000003</v>
      </c>
      <c r="V27" s="4">
        <v>52011.110500000003</v>
      </c>
      <c r="W27" s="4">
        <v>14769.788200000001</v>
      </c>
      <c r="X27" s="4">
        <v>168.64279999999999</v>
      </c>
      <c r="Y27" s="4">
        <v>9378.5179000000007</v>
      </c>
      <c r="Z27" s="4">
        <v>27694.161499999998</v>
      </c>
    </row>
    <row r="28" spans="1:26" x14ac:dyDescent="0.2">
      <c r="A28" s="3">
        <v>39783</v>
      </c>
      <c r="B28" s="4">
        <v>47938.085700000003</v>
      </c>
      <c r="C28" s="4">
        <v>10073.4228</v>
      </c>
      <c r="D28" s="4">
        <v>351.06790000000001</v>
      </c>
      <c r="E28" s="4">
        <v>9722.3549000000003</v>
      </c>
      <c r="F28" s="5">
        <v>18644.594099999998</v>
      </c>
      <c r="G28" s="4">
        <v>31.8249</v>
      </c>
      <c r="H28" s="4">
        <v>18612.769199999999</v>
      </c>
      <c r="I28" s="4">
        <v>-1574.6303</v>
      </c>
      <c r="J28" s="5">
        <v>0</v>
      </c>
      <c r="K28" s="4">
        <v>0</v>
      </c>
      <c r="L28" s="4">
        <v>0</v>
      </c>
      <c r="M28" s="4">
        <v>20794.699199999999</v>
      </c>
      <c r="N28" s="4">
        <v>8460.4640999999992</v>
      </c>
      <c r="O28" s="4">
        <v>0</v>
      </c>
      <c r="P28" s="4">
        <v>12334.2351</v>
      </c>
      <c r="Q28" s="4">
        <v>0</v>
      </c>
      <c r="R28" s="4">
        <v>0</v>
      </c>
      <c r="S28" s="4">
        <v>47938.085800000001</v>
      </c>
      <c r="T28" s="4">
        <v>47890.463499999998</v>
      </c>
      <c r="U28" s="4">
        <v>47.622300000000003</v>
      </c>
      <c r="V28" s="4">
        <v>47938.085700000003</v>
      </c>
      <c r="W28" s="4">
        <v>12428.533600000001</v>
      </c>
      <c r="X28" s="4">
        <v>282.15800000000002</v>
      </c>
      <c r="Y28" s="4">
        <v>8366.1656000000003</v>
      </c>
      <c r="Z28" s="4">
        <v>26861.228599999999</v>
      </c>
    </row>
    <row r="29" spans="1:26" x14ac:dyDescent="0.2">
      <c r="A29" s="3">
        <v>39873</v>
      </c>
      <c r="B29" s="4">
        <v>49163.987000000001</v>
      </c>
      <c r="C29" s="4">
        <v>9092.7088000000003</v>
      </c>
      <c r="D29" s="4">
        <v>201.4622</v>
      </c>
      <c r="E29" s="4">
        <v>8891.2466999999997</v>
      </c>
      <c r="F29" s="5">
        <v>20360.085999999999</v>
      </c>
      <c r="G29" s="4">
        <v>24.385899999999999</v>
      </c>
      <c r="H29" s="4">
        <v>20335.700099999998</v>
      </c>
      <c r="I29" s="4">
        <v>-251.8297</v>
      </c>
      <c r="J29" s="5">
        <v>0</v>
      </c>
      <c r="K29" s="4">
        <v>0</v>
      </c>
      <c r="L29" s="4">
        <v>0</v>
      </c>
      <c r="M29" s="4">
        <v>19963.021799999999</v>
      </c>
      <c r="N29" s="4">
        <v>8105.7371000000003</v>
      </c>
      <c r="O29" s="4">
        <v>0</v>
      </c>
      <c r="P29" s="4">
        <v>11857.2847</v>
      </c>
      <c r="Q29" s="4">
        <v>0</v>
      </c>
      <c r="R29" s="4">
        <v>0</v>
      </c>
      <c r="S29" s="4">
        <v>49163.986900000004</v>
      </c>
      <c r="T29" s="4">
        <v>49124.554100000001</v>
      </c>
      <c r="U29" s="4">
        <v>39.4328</v>
      </c>
      <c r="V29" s="4">
        <v>49163.987000000001</v>
      </c>
      <c r="W29" s="4">
        <v>11724.541800000001</v>
      </c>
      <c r="X29" s="4">
        <v>144.77029999999999</v>
      </c>
      <c r="Y29" s="4">
        <v>8238.48</v>
      </c>
      <c r="Z29" s="4">
        <v>29056.194899999999</v>
      </c>
    </row>
    <row r="30" spans="1:26" x14ac:dyDescent="0.2">
      <c r="A30" s="3">
        <v>39965</v>
      </c>
      <c r="B30" s="4">
        <v>54411.891900000002</v>
      </c>
      <c r="C30" s="4">
        <v>7793.7232999999997</v>
      </c>
      <c r="D30" s="4">
        <v>76.604200000000006</v>
      </c>
      <c r="E30" s="4">
        <v>7717.1190999999999</v>
      </c>
      <c r="F30" s="5">
        <v>19947.973000000002</v>
      </c>
      <c r="G30" s="4">
        <v>24.180199999999999</v>
      </c>
      <c r="H30" s="4">
        <v>19923.792799999999</v>
      </c>
      <c r="I30" s="4">
        <v>618.43629999999996</v>
      </c>
      <c r="J30" s="5">
        <v>0</v>
      </c>
      <c r="K30" s="4">
        <v>0</v>
      </c>
      <c r="L30" s="4">
        <v>0</v>
      </c>
      <c r="M30" s="4">
        <v>26051.759300000002</v>
      </c>
      <c r="N30" s="4">
        <v>10119.734</v>
      </c>
      <c r="O30" s="4">
        <v>0</v>
      </c>
      <c r="P30" s="4">
        <v>15932.025299999999</v>
      </c>
      <c r="Q30" s="4">
        <v>0</v>
      </c>
      <c r="R30" s="4">
        <v>0</v>
      </c>
      <c r="S30" s="4">
        <v>54411.891900000002</v>
      </c>
      <c r="T30" s="4">
        <v>54366.013800000001</v>
      </c>
      <c r="U30" s="4">
        <v>45.878100000000003</v>
      </c>
      <c r="V30" s="4">
        <v>54411.891900000002</v>
      </c>
      <c r="W30" s="4">
        <v>16019.922200000001</v>
      </c>
      <c r="X30" s="4">
        <v>102.438</v>
      </c>
      <c r="Y30" s="4">
        <v>10031.837100000001</v>
      </c>
      <c r="Z30" s="4">
        <v>28257.694599999999</v>
      </c>
    </row>
    <row r="31" spans="1:26" x14ac:dyDescent="0.2">
      <c r="A31" s="3">
        <v>40057</v>
      </c>
      <c r="B31" s="4">
        <v>59612.539199999999</v>
      </c>
      <c r="C31" s="4">
        <v>6550.1908000000003</v>
      </c>
      <c r="D31" s="4">
        <v>155.72550000000001</v>
      </c>
      <c r="E31" s="4">
        <v>6394.4652999999998</v>
      </c>
      <c r="F31" s="5">
        <v>20227.487300000001</v>
      </c>
      <c r="G31" s="4">
        <v>12.657400000000001</v>
      </c>
      <c r="H31" s="4">
        <v>20214.829900000001</v>
      </c>
      <c r="I31" s="4">
        <v>53.311599999999999</v>
      </c>
      <c r="J31" s="5">
        <v>0</v>
      </c>
      <c r="K31" s="4">
        <v>0</v>
      </c>
      <c r="L31" s="4">
        <v>0</v>
      </c>
      <c r="M31" s="4">
        <v>32781.549599999998</v>
      </c>
      <c r="N31" s="4">
        <v>10949.6702</v>
      </c>
      <c r="O31" s="4">
        <v>0</v>
      </c>
      <c r="P31" s="4">
        <v>21831.879400000002</v>
      </c>
      <c r="Q31" s="4">
        <v>0</v>
      </c>
      <c r="R31" s="4">
        <v>0</v>
      </c>
      <c r="S31" s="4">
        <v>59612.539199999999</v>
      </c>
      <c r="T31" s="4">
        <v>59537.763800000001</v>
      </c>
      <c r="U31" s="4">
        <v>74.775400000000005</v>
      </c>
      <c r="V31" s="4">
        <v>59612.539199999999</v>
      </c>
      <c r="W31" s="4">
        <v>22483.285500000002</v>
      </c>
      <c r="X31" s="4">
        <v>202.98509999999999</v>
      </c>
      <c r="Y31" s="4">
        <v>10298.2641</v>
      </c>
      <c r="Z31" s="4">
        <v>26628.004499999999</v>
      </c>
    </row>
    <row r="32" spans="1:26" x14ac:dyDescent="0.2">
      <c r="A32" s="3">
        <v>40148</v>
      </c>
      <c r="B32" s="4">
        <v>61316.791299999997</v>
      </c>
      <c r="C32" s="4">
        <v>4866.5654999999997</v>
      </c>
      <c r="D32" s="4">
        <v>157.54220000000001</v>
      </c>
      <c r="E32" s="4">
        <v>4709.0232999999998</v>
      </c>
      <c r="F32" s="5">
        <v>20172.9948</v>
      </c>
      <c r="G32" s="4">
        <v>37.451000000000001</v>
      </c>
      <c r="H32" s="4">
        <v>20135.543799999999</v>
      </c>
      <c r="I32" s="4">
        <v>495.1259</v>
      </c>
      <c r="J32" s="5">
        <v>0</v>
      </c>
      <c r="K32" s="4">
        <v>0</v>
      </c>
      <c r="L32" s="4">
        <v>0</v>
      </c>
      <c r="M32" s="4">
        <v>35782.103499999997</v>
      </c>
      <c r="N32" s="4">
        <v>11548.2773</v>
      </c>
      <c r="O32" s="4">
        <v>0</v>
      </c>
      <c r="P32" s="4">
        <v>24233.8262</v>
      </c>
      <c r="Q32" s="4">
        <v>1.6999999999999999E-3</v>
      </c>
      <c r="R32" s="4">
        <v>0</v>
      </c>
      <c r="S32" s="4">
        <v>61316.789599999996</v>
      </c>
      <c r="T32" s="4">
        <v>61233.362200000003</v>
      </c>
      <c r="U32" s="4">
        <v>83.427400000000006</v>
      </c>
      <c r="V32" s="4">
        <v>61316.791299999997</v>
      </c>
      <c r="W32" s="4">
        <v>25145.718099999998</v>
      </c>
      <c r="X32" s="4">
        <v>224.9872</v>
      </c>
      <c r="Y32" s="4">
        <v>10636.3853</v>
      </c>
      <c r="Z32" s="4">
        <v>25309.698899999999</v>
      </c>
    </row>
    <row r="33" spans="1:26" x14ac:dyDescent="0.2">
      <c r="A33" s="3">
        <v>40238</v>
      </c>
      <c r="B33" s="4">
        <v>64367.613400000002</v>
      </c>
      <c r="C33" s="4">
        <v>4921.1889000000001</v>
      </c>
      <c r="D33" s="4">
        <v>183.80330000000001</v>
      </c>
      <c r="E33" s="4">
        <v>4737.3855999999996</v>
      </c>
      <c r="F33" s="5">
        <v>20315.0242</v>
      </c>
      <c r="G33" s="4">
        <v>49.0837</v>
      </c>
      <c r="H33" s="4">
        <v>20265.940500000001</v>
      </c>
      <c r="I33" s="4">
        <v>-115.5894</v>
      </c>
      <c r="J33" s="5">
        <v>0</v>
      </c>
      <c r="K33" s="4">
        <v>0</v>
      </c>
      <c r="L33" s="4">
        <v>0</v>
      </c>
      <c r="M33" s="4">
        <v>39246.988100000002</v>
      </c>
      <c r="N33" s="4">
        <v>11839.823200000001</v>
      </c>
      <c r="O33" s="4">
        <v>0</v>
      </c>
      <c r="P33" s="4">
        <v>27407.1649</v>
      </c>
      <c r="Q33" s="4">
        <v>1.6999999999999999E-3</v>
      </c>
      <c r="R33" s="4">
        <v>0</v>
      </c>
      <c r="S33" s="4">
        <v>64367.611700000001</v>
      </c>
      <c r="T33" s="4">
        <v>64268.737399999998</v>
      </c>
      <c r="U33" s="4">
        <v>98.874300000000005</v>
      </c>
      <c r="V33" s="4">
        <v>64367.613400000002</v>
      </c>
      <c r="W33" s="4">
        <v>27951.156599999998</v>
      </c>
      <c r="X33" s="4">
        <v>271.05239999999998</v>
      </c>
      <c r="Y33" s="4">
        <v>11295.8315</v>
      </c>
      <c r="Z33" s="4">
        <v>24849.5713</v>
      </c>
    </row>
    <row r="34" spans="1:26" x14ac:dyDescent="0.2">
      <c r="A34" s="3">
        <v>40330</v>
      </c>
      <c r="B34" s="4">
        <v>64684.733500000002</v>
      </c>
      <c r="C34" s="4">
        <v>4781.7758000000003</v>
      </c>
      <c r="D34" s="4">
        <v>152.73179999999999</v>
      </c>
      <c r="E34" s="4">
        <v>4629.0439999999999</v>
      </c>
      <c r="F34" s="5">
        <v>21375.7876</v>
      </c>
      <c r="G34" s="4">
        <v>64.879499999999993</v>
      </c>
      <c r="H34" s="4">
        <v>21310.908100000001</v>
      </c>
      <c r="I34" s="4">
        <v>-510.87799999999999</v>
      </c>
      <c r="J34" s="5">
        <v>0</v>
      </c>
      <c r="K34" s="4">
        <v>0</v>
      </c>
      <c r="L34" s="4">
        <v>0</v>
      </c>
      <c r="M34" s="4">
        <v>39038.046499999997</v>
      </c>
      <c r="N34" s="4">
        <v>12129.1271</v>
      </c>
      <c r="O34" s="4">
        <v>0</v>
      </c>
      <c r="P34" s="4">
        <v>26908.919399999999</v>
      </c>
      <c r="Q34" s="4">
        <v>1.6999999999999999E-3</v>
      </c>
      <c r="R34" s="4">
        <v>0</v>
      </c>
      <c r="S34" s="4">
        <v>64684.731800000001</v>
      </c>
      <c r="T34" s="4">
        <v>64600.407800000001</v>
      </c>
      <c r="U34" s="4">
        <v>84.323999999999998</v>
      </c>
      <c r="V34" s="4">
        <v>64684.733500000002</v>
      </c>
      <c r="W34" s="4">
        <v>27080.096699999998</v>
      </c>
      <c r="X34" s="4">
        <v>172.92740000000001</v>
      </c>
      <c r="Y34" s="4">
        <v>11957.9498</v>
      </c>
      <c r="Z34" s="4">
        <v>25473.757900000001</v>
      </c>
    </row>
    <row r="35" spans="1:26" x14ac:dyDescent="0.2">
      <c r="A35" s="3">
        <v>40422</v>
      </c>
      <c r="B35" s="4">
        <v>68973.505600000004</v>
      </c>
      <c r="C35" s="4">
        <v>3428.5115000000001</v>
      </c>
      <c r="D35" s="4">
        <v>163.73990000000001</v>
      </c>
      <c r="E35" s="4">
        <v>3264.7714999999998</v>
      </c>
      <c r="F35" s="5">
        <v>21945.079000000002</v>
      </c>
      <c r="G35" s="4">
        <v>14.016299999999999</v>
      </c>
      <c r="H35" s="4">
        <v>21931.0628</v>
      </c>
      <c r="I35" s="4">
        <v>511.68450000000001</v>
      </c>
      <c r="J35" s="5">
        <v>0</v>
      </c>
      <c r="K35" s="4">
        <v>0</v>
      </c>
      <c r="L35" s="4">
        <v>0</v>
      </c>
      <c r="M35" s="4">
        <v>43088.228900000002</v>
      </c>
      <c r="N35" s="4">
        <v>13856.0975</v>
      </c>
      <c r="O35" s="4">
        <v>0</v>
      </c>
      <c r="P35" s="4">
        <v>29232.131399999998</v>
      </c>
      <c r="Q35" s="4">
        <v>1.6999999999999999E-3</v>
      </c>
      <c r="R35" s="4">
        <v>0</v>
      </c>
      <c r="S35" s="4">
        <v>68973.503899999996</v>
      </c>
      <c r="T35" s="4">
        <v>68871.742599999998</v>
      </c>
      <c r="U35" s="4">
        <v>101.76130000000001</v>
      </c>
      <c r="V35" s="4">
        <v>68973.505600000004</v>
      </c>
      <c r="W35" s="4">
        <v>29256.942800000001</v>
      </c>
      <c r="X35" s="4">
        <v>197.00899999999999</v>
      </c>
      <c r="Y35" s="4">
        <v>13831.286099999999</v>
      </c>
      <c r="Z35" s="4">
        <v>25688.265899999999</v>
      </c>
    </row>
    <row r="36" spans="1:26" x14ac:dyDescent="0.2">
      <c r="A36" s="3">
        <v>40513</v>
      </c>
      <c r="B36" s="4">
        <v>71501.682000000001</v>
      </c>
      <c r="C36" s="4">
        <v>3891.7492999999999</v>
      </c>
      <c r="D36" s="4">
        <v>179.1301</v>
      </c>
      <c r="E36" s="4">
        <v>3712.6192000000001</v>
      </c>
      <c r="F36" s="5">
        <v>22945.177899999999</v>
      </c>
      <c r="G36" s="4">
        <v>29.947199999999999</v>
      </c>
      <c r="H36" s="4">
        <v>22915.230599999999</v>
      </c>
      <c r="I36" s="4">
        <v>650.97299999999996</v>
      </c>
      <c r="J36" s="5">
        <v>0</v>
      </c>
      <c r="K36" s="4">
        <v>0</v>
      </c>
      <c r="L36" s="4">
        <v>0</v>
      </c>
      <c r="M36" s="4">
        <v>44013.780200000001</v>
      </c>
      <c r="N36" s="4">
        <v>14108.7397</v>
      </c>
      <c r="O36" s="4">
        <v>0</v>
      </c>
      <c r="P36" s="4">
        <v>29905.040499999999</v>
      </c>
      <c r="Q36" s="4">
        <v>1.6999999999999999E-3</v>
      </c>
      <c r="R36" s="4">
        <v>0</v>
      </c>
      <c r="S36" s="4">
        <v>71501.680399999997</v>
      </c>
      <c r="T36" s="4">
        <v>71407.451300000001</v>
      </c>
      <c r="U36" s="4">
        <v>94.228999999999999</v>
      </c>
      <c r="V36" s="4">
        <v>71501.682000000001</v>
      </c>
      <c r="W36" s="4">
        <v>29617.330099999999</v>
      </c>
      <c r="X36" s="4">
        <v>547.41110000000003</v>
      </c>
      <c r="Y36" s="4">
        <v>14396.4501</v>
      </c>
      <c r="Z36" s="4">
        <v>26940.489000000001</v>
      </c>
    </row>
    <row r="37" spans="1:26" x14ac:dyDescent="0.2">
      <c r="A37" s="3">
        <v>40603</v>
      </c>
      <c r="B37" s="4">
        <v>73480.443299999999</v>
      </c>
      <c r="C37" s="4">
        <v>3789.4151999999999</v>
      </c>
      <c r="D37" s="4">
        <v>158.14670000000001</v>
      </c>
      <c r="E37" s="4">
        <v>3631.2685000000001</v>
      </c>
      <c r="F37" s="5">
        <v>24510.839499999998</v>
      </c>
      <c r="G37" s="4">
        <v>117.0697</v>
      </c>
      <c r="H37" s="4">
        <v>24393.769799999998</v>
      </c>
      <c r="I37" s="4">
        <v>319.5652</v>
      </c>
      <c r="J37" s="5">
        <v>0</v>
      </c>
      <c r="K37" s="4">
        <v>0</v>
      </c>
      <c r="L37" s="4">
        <v>0</v>
      </c>
      <c r="M37" s="4">
        <v>44860.621800000001</v>
      </c>
      <c r="N37" s="4">
        <v>14261.604799999999</v>
      </c>
      <c r="O37" s="4">
        <v>0</v>
      </c>
      <c r="P37" s="4">
        <v>30599.017</v>
      </c>
      <c r="Q37" s="4">
        <v>1.6999999999999999E-3</v>
      </c>
      <c r="R37" s="4">
        <v>0</v>
      </c>
      <c r="S37" s="4">
        <v>73480.441699999996</v>
      </c>
      <c r="T37" s="4">
        <v>73392.852700000003</v>
      </c>
      <c r="U37" s="4">
        <v>87.588999999999999</v>
      </c>
      <c r="V37" s="4">
        <v>73480.443299999999</v>
      </c>
      <c r="W37" s="4">
        <v>31095.220600000001</v>
      </c>
      <c r="X37" s="4">
        <v>378.0498</v>
      </c>
      <c r="Y37" s="4">
        <v>13765.4012</v>
      </c>
      <c r="Z37" s="4">
        <v>28241.77</v>
      </c>
    </row>
    <row r="38" spans="1:26" x14ac:dyDescent="0.2">
      <c r="A38" s="3">
        <v>40695</v>
      </c>
      <c r="B38" s="4">
        <v>74325.904200000004</v>
      </c>
      <c r="C38" s="4">
        <v>4335.4332999999997</v>
      </c>
      <c r="D38" s="4">
        <v>247.87989999999999</v>
      </c>
      <c r="E38" s="4">
        <v>4087.5533</v>
      </c>
      <c r="F38" s="5">
        <v>26448.291000000001</v>
      </c>
      <c r="G38" s="4">
        <v>201.5001</v>
      </c>
      <c r="H38" s="4">
        <v>26246.791000000001</v>
      </c>
      <c r="I38" s="4">
        <v>245.7791</v>
      </c>
      <c r="J38" s="5">
        <v>0</v>
      </c>
      <c r="K38" s="4">
        <v>0</v>
      </c>
      <c r="L38" s="4">
        <v>0</v>
      </c>
      <c r="M38" s="4">
        <v>43296.3992</v>
      </c>
      <c r="N38" s="4">
        <v>15248.652899999999</v>
      </c>
      <c r="O38" s="4">
        <v>0</v>
      </c>
      <c r="P38" s="4">
        <v>28047.746200000001</v>
      </c>
      <c r="Q38" s="4">
        <v>1.6999999999999999E-3</v>
      </c>
      <c r="R38" s="4">
        <v>0</v>
      </c>
      <c r="S38" s="4">
        <v>74325.902499999997</v>
      </c>
      <c r="T38" s="4">
        <v>74245.895099999994</v>
      </c>
      <c r="U38" s="4">
        <v>80.007400000000004</v>
      </c>
      <c r="V38" s="4">
        <v>74325.904200000004</v>
      </c>
      <c r="W38" s="4">
        <v>29054.257300000001</v>
      </c>
      <c r="X38" s="4">
        <v>809.55510000000004</v>
      </c>
      <c r="Y38" s="4">
        <v>14242.141799999999</v>
      </c>
      <c r="Z38" s="4">
        <v>30219.9483</v>
      </c>
    </row>
    <row r="39" spans="1:26" x14ac:dyDescent="0.2">
      <c r="A39" s="3">
        <v>40787</v>
      </c>
      <c r="B39" s="4">
        <v>70754.819199999998</v>
      </c>
      <c r="C39" s="4">
        <v>6097.3406000000004</v>
      </c>
      <c r="D39" s="4">
        <v>574.07889999999998</v>
      </c>
      <c r="E39" s="4">
        <v>5523.2617</v>
      </c>
      <c r="F39" s="5">
        <v>31089.4771</v>
      </c>
      <c r="G39" s="4">
        <v>155.92920000000001</v>
      </c>
      <c r="H39" s="4">
        <v>30933.547900000001</v>
      </c>
      <c r="I39" s="4">
        <v>-722.65099999999995</v>
      </c>
      <c r="J39" s="5">
        <v>0</v>
      </c>
      <c r="K39" s="4">
        <v>0</v>
      </c>
      <c r="L39" s="4">
        <v>0</v>
      </c>
      <c r="M39" s="4">
        <v>34290.650800000003</v>
      </c>
      <c r="N39" s="4">
        <v>12131.713900000001</v>
      </c>
      <c r="O39" s="4">
        <v>0</v>
      </c>
      <c r="P39" s="4">
        <v>22158.936900000001</v>
      </c>
      <c r="Q39" s="4">
        <v>1.6999999999999999E-3</v>
      </c>
      <c r="R39" s="4">
        <v>0</v>
      </c>
      <c r="S39" s="4">
        <v>70754.817599999995</v>
      </c>
      <c r="T39" s="4">
        <v>70653.581900000005</v>
      </c>
      <c r="U39" s="4">
        <v>101.23569999999999</v>
      </c>
      <c r="V39" s="4">
        <v>70754.819199999998</v>
      </c>
      <c r="W39" s="4">
        <v>22035.422600000002</v>
      </c>
      <c r="X39" s="4">
        <v>928.11980000000005</v>
      </c>
      <c r="Y39" s="4">
        <v>12255.2282</v>
      </c>
      <c r="Z39" s="4">
        <v>35536.046900000001</v>
      </c>
    </row>
    <row r="40" spans="1:26" x14ac:dyDescent="0.2">
      <c r="A40" s="3">
        <v>40878</v>
      </c>
      <c r="B40" s="4">
        <v>72930.006500000003</v>
      </c>
      <c r="C40" s="4">
        <v>5321.3346000000001</v>
      </c>
      <c r="D40" s="4">
        <v>234.85759999999999</v>
      </c>
      <c r="E40" s="4">
        <v>5086.4769999999999</v>
      </c>
      <c r="F40" s="5">
        <v>31263.765500000001</v>
      </c>
      <c r="G40" s="4">
        <v>8.7341999999999995</v>
      </c>
      <c r="H40" s="4">
        <v>31255.031299999999</v>
      </c>
      <c r="I40" s="4">
        <v>-330.89789999999999</v>
      </c>
      <c r="J40" s="5">
        <v>0</v>
      </c>
      <c r="K40" s="4">
        <v>0</v>
      </c>
      <c r="L40" s="4">
        <v>0</v>
      </c>
      <c r="M40" s="4">
        <v>36675.8027</v>
      </c>
      <c r="N40" s="4">
        <v>13673.5805</v>
      </c>
      <c r="O40" s="4">
        <v>0</v>
      </c>
      <c r="P40" s="4">
        <v>23002.2222</v>
      </c>
      <c r="Q40" s="4">
        <v>1.6999999999999999E-3</v>
      </c>
      <c r="R40" s="4">
        <v>0</v>
      </c>
      <c r="S40" s="4">
        <v>72930.0049</v>
      </c>
      <c r="T40" s="4">
        <v>72835.7546</v>
      </c>
      <c r="U40" s="4">
        <v>94.250200000000007</v>
      </c>
      <c r="V40" s="4">
        <v>72930.006500000003</v>
      </c>
      <c r="W40" s="4">
        <v>23857.864000000001</v>
      </c>
      <c r="X40" s="4">
        <v>478.67439999999999</v>
      </c>
      <c r="Y40" s="4">
        <v>12817.938700000001</v>
      </c>
      <c r="Z40" s="4">
        <v>35775.527800000003</v>
      </c>
    </row>
    <row r="41" spans="1:26" x14ac:dyDescent="0.2">
      <c r="A41" s="3">
        <v>40969</v>
      </c>
      <c r="B41" s="4">
        <v>76981.833899999998</v>
      </c>
      <c r="C41" s="4">
        <v>4830.2834999999995</v>
      </c>
      <c r="D41" s="4">
        <v>93.302700000000002</v>
      </c>
      <c r="E41" s="4">
        <v>4736.9808000000003</v>
      </c>
      <c r="F41" s="5">
        <v>31752.552899999999</v>
      </c>
      <c r="G41" s="4">
        <v>13.8643</v>
      </c>
      <c r="H41" s="4">
        <v>31738.688600000001</v>
      </c>
      <c r="I41" s="4">
        <v>-35.176200000000001</v>
      </c>
      <c r="J41" s="5">
        <v>0</v>
      </c>
      <c r="K41" s="4">
        <v>0</v>
      </c>
      <c r="L41" s="4">
        <v>0</v>
      </c>
      <c r="M41" s="4">
        <v>40434.171999999999</v>
      </c>
      <c r="N41" s="4">
        <v>14863.5597</v>
      </c>
      <c r="O41" s="4">
        <v>0</v>
      </c>
      <c r="P41" s="4">
        <v>25570.612300000001</v>
      </c>
      <c r="Q41" s="4">
        <v>1.6999999999999999E-3</v>
      </c>
      <c r="R41" s="4">
        <v>0</v>
      </c>
      <c r="S41" s="4">
        <v>76981.832299999995</v>
      </c>
      <c r="T41" s="4">
        <v>76906.198000000004</v>
      </c>
      <c r="U41" s="4">
        <v>75.634200000000007</v>
      </c>
      <c r="V41" s="4">
        <v>76981.833899999998</v>
      </c>
      <c r="W41" s="4">
        <v>26879.7778</v>
      </c>
      <c r="X41" s="4">
        <v>361.6447</v>
      </c>
      <c r="Y41" s="4">
        <v>13554.394200000001</v>
      </c>
      <c r="Z41" s="4">
        <v>36186.015500000001</v>
      </c>
    </row>
    <row r="42" spans="1:26" x14ac:dyDescent="0.2">
      <c r="A42" s="3">
        <v>41061</v>
      </c>
      <c r="B42" s="4">
        <v>76365.164000000004</v>
      </c>
      <c r="C42" s="4">
        <v>5339.7397000000001</v>
      </c>
      <c r="D42" s="4">
        <v>102.63800000000001</v>
      </c>
      <c r="E42" s="4">
        <v>5237.1017000000002</v>
      </c>
      <c r="F42" s="5">
        <v>33265.898999999998</v>
      </c>
      <c r="G42" s="4">
        <v>7.9667000000000003</v>
      </c>
      <c r="H42" s="4">
        <v>33257.9323</v>
      </c>
      <c r="I42" s="4">
        <v>-115.6157</v>
      </c>
      <c r="J42" s="5">
        <v>0</v>
      </c>
      <c r="K42" s="4">
        <v>0</v>
      </c>
      <c r="L42" s="4">
        <v>0</v>
      </c>
      <c r="M42" s="4">
        <v>37875.1394</v>
      </c>
      <c r="N42" s="4">
        <v>13864.085300000001</v>
      </c>
      <c r="O42" s="4">
        <v>0</v>
      </c>
      <c r="P42" s="4">
        <v>24011.054</v>
      </c>
      <c r="Q42" s="4">
        <v>1.6999999999999999E-3</v>
      </c>
      <c r="R42" s="4">
        <v>0</v>
      </c>
      <c r="S42" s="4">
        <v>76365.162299999996</v>
      </c>
      <c r="T42" s="4">
        <v>76290.435400000002</v>
      </c>
      <c r="U42" s="4">
        <v>74.727000000000004</v>
      </c>
      <c r="V42" s="4">
        <v>76365.164000000004</v>
      </c>
      <c r="W42" s="4">
        <v>24962.823499999999</v>
      </c>
      <c r="X42" s="4">
        <v>458.5557</v>
      </c>
      <c r="Y42" s="4">
        <v>12912.3159</v>
      </c>
      <c r="Z42" s="4">
        <v>38031.467299999997</v>
      </c>
    </row>
    <row r="43" spans="1:26" x14ac:dyDescent="0.2">
      <c r="A43" s="3">
        <v>41153</v>
      </c>
      <c r="B43" s="4">
        <v>77906.625100000005</v>
      </c>
      <c r="C43" s="4">
        <v>6193.9561999999996</v>
      </c>
      <c r="D43" s="4">
        <v>111.5635</v>
      </c>
      <c r="E43" s="4">
        <v>6082.3927000000003</v>
      </c>
      <c r="F43" s="5">
        <v>33245.485500000003</v>
      </c>
      <c r="G43" s="4">
        <v>44.278799999999997</v>
      </c>
      <c r="H43" s="4">
        <v>33201.206700000002</v>
      </c>
      <c r="I43" s="4">
        <v>260.50959999999998</v>
      </c>
      <c r="J43" s="5">
        <v>0</v>
      </c>
      <c r="K43" s="4">
        <v>0</v>
      </c>
      <c r="L43" s="4">
        <v>0</v>
      </c>
      <c r="M43" s="4">
        <v>38206.672200000001</v>
      </c>
      <c r="N43" s="4">
        <v>14409.9234</v>
      </c>
      <c r="O43" s="4">
        <v>0</v>
      </c>
      <c r="P43" s="4">
        <v>23796.748899999999</v>
      </c>
      <c r="Q43" s="4">
        <v>1.6999999999999999E-3</v>
      </c>
      <c r="R43" s="4">
        <v>0</v>
      </c>
      <c r="S43" s="4">
        <v>77906.623399999997</v>
      </c>
      <c r="T43" s="4">
        <v>77836.241999999998</v>
      </c>
      <c r="U43" s="4">
        <v>70.381399999999999</v>
      </c>
      <c r="V43" s="4">
        <v>77906.625100000005</v>
      </c>
      <c r="W43" s="4">
        <v>25406.096300000001</v>
      </c>
      <c r="X43" s="4">
        <v>336.3886</v>
      </c>
      <c r="Y43" s="4">
        <v>12800.5759</v>
      </c>
      <c r="Z43" s="4">
        <v>39363.562599999997</v>
      </c>
    </row>
    <row r="44" spans="1:26" x14ac:dyDescent="0.2">
      <c r="A44" s="3">
        <v>41244</v>
      </c>
      <c r="B44" s="4">
        <v>80727.179799999998</v>
      </c>
      <c r="C44" s="4">
        <v>6043.0492000000004</v>
      </c>
      <c r="D44" s="4">
        <v>386.55419999999998</v>
      </c>
      <c r="E44" s="4">
        <v>5656.4949999999999</v>
      </c>
      <c r="F44" s="5">
        <v>33296.976000000002</v>
      </c>
      <c r="G44" s="4">
        <v>5.0579000000000001</v>
      </c>
      <c r="H44" s="4">
        <v>33291.918100000003</v>
      </c>
      <c r="I44" s="4">
        <v>96.492699999999999</v>
      </c>
      <c r="J44" s="5">
        <v>0</v>
      </c>
      <c r="K44" s="4">
        <v>0</v>
      </c>
      <c r="L44" s="4">
        <v>0</v>
      </c>
      <c r="M44" s="4">
        <v>41290.660300000003</v>
      </c>
      <c r="N44" s="4">
        <v>16057.847</v>
      </c>
      <c r="O44" s="4">
        <v>0</v>
      </c>
      <c r="P44" s="4">
        <v>25232.813399999999</v>
      </c>
      <c r="Q44" s="4">
        <v>1.6999999999999999E-3</v>
      </c>
      <c r="R44" s="4">
        <v>0</v>
      </c>
      <c r="S44" s="4">
        <v>80727.178100000005</v>
      </c>
      <c r="T44" s="4">
        <v>80527.4136</v>
      </c>
      <c r="U44" s="4">
        <v>199.7645</v>
      </c>
      <c r="V44" s="4">
        <v>80727.179799999998</v>
      </c>
      <c r="W44" s="4">
        <v>28441.4791</v>
      </c>
      <c r="X44" s="4">
        <v>351.33789999999999</v>
      </c>
      <c r="Y44" s="4">
        <v>12849.181200000001</v>
      </c>
      <c r="Z44" s="4">
        <v>39085.18</v>
      </c>
    </row>
    <row r="45" spans="1:26" x14ac:dyDescent="0.2">
      <c r="A45" s="3">
        <v>41334</v>
      </c>
      <c r="B45" s="4">
        <v>83099.251399999994</v>
      </c>
      <c r="C45" s="4">
        <v>6146.6823999999997</v>
      </c>
      <c r="D45" s="4">
        <v>455.56720000000001</v>
      </c>
      <c r="E45" s="4">
        <v>5691.1152000000002</v>
      </c>
      <c r="F45" s="5">
        <v>32738.922200000001</v>
      </c>
      <c r="G45" s="4">
        <v>159.49619999999999</v>
      </c>
      <c r="H45" s="4">
        <v>32579.425999999999</v>
      </c>
      <c r="I45" s="4">
        <v>164.1772</v>
      </c>
      <c r="J45" s="5">
        <v>0</v>
      </c>
      <c r="K45" s="4">
        <v>0</v>
      </c>
      <c r="L45" s="4">
        <v>0</v>
      </c>
      <c r="M45" s="4">
        <v>44049.468000000001</v>
      </c>
      <c r="N45" s="4">
        <v>17408.807400000002</v>
      </c>
      <c r="O45" s="4">
        <v>0</v>
      </c>
      <c r="P45" s="4">
        <v>26640.660599999999</v>
      </c>
      <c r="Q45" s="4">
        <v>1.6999999999999999E-3</v>
      </c>
      <c r="R45" s="4">
        <v>0</v>
      </c>
      <c r="S45" s="4">
        <v>83099.2497</v>
      </c>
      <c r="T45" s="4">
        <v>83023.5141</v>
      </c>
      <c r="U45" s="4">
        <v>75.735600000000005</v>
      </c>
      <c r="V45" s="4">
        <v>83099.251399999994</v>
      </c>
      <c r="W45" s="4">
        <v>30169.561300000001</v>
      </c>
      <c r="X45" s="4">
        <v>746.60680000000002</v>
      </c>
      <c r="Y45" s="4">
        <v>13879.9067</v>
      </c>
      <c r="Z45" s="4">
        <v>38303.174899999998</v>
      </c>
    </row>
    <row r="46" spans="1:26" x14ac:dyDescent="0.2">
      <c r="A46" s="3">
        <v>41426</v>
      </c>
      <c r="B46" s="4">
        <v>83384.391399999993</v>
      </c>
      <c r="C46" s="4">
        <v>7081.0495000000001</v>
      </c>
      <c r="D46" s="4">
        <v>210.4468</v>
      </c>
      <c r="E46" s="4">
        <v>6870.6027999999997</v>
      </c>
      <c r="F46" s="5">
        <v>35110.3073</v>
      </c>
      <c r="G46" s="4">
        <v>374.339</v>
      </c>
      <c r="H46" s="4">
        <v>34735.9683</v>
      </c>
      <c r="I46" s="4">
        <v>-101.0684</v>
      </c>
      <c r="J46" s="5">
        <v>0</v>
      </c>
      <c r="K46" s="4">
        <v>0</v>
      </c>
      <c r="L46" s="4">
        <v>0</v>
      </c>
      <c r="M46" s="4">
        <v>41294.101300000002</v>
      </c>
      <c r="N46" s="4">
        <v>15830.227000000001</v>
      </c>
      <c r="O46" s="4">
        <v>0</v>
      </c>
      <c r="P46" s="4">
        <v>25463.874299999999</v>
      </c>
      <c r="Q46" s="4">
        <v>1.6999999999999999E-3</v>
      </c>
      <c r="R46" s="4">
        <v>0</v>
      </c>
      <c r="S46" s="4">
        <v>83384.3897</v>
      </c>
      <c r="T46" s="4">
        <v>83285.551500000001</v>
      </c>
      <c r="U46" s="4">
        <v>98.838200000000001</v>
      </c>
      <c r="V46" s="4">
        <v>83384.391399999993</v>
      </c>
      <c r="W46" s="4">
        <v>28985.269</v>
      </c>
      <c r="X46" s="4">
        <v>702.47310000000004</v>
      </c>
      <c r="Y46" s="4">
        <v>12308.832200000001</v>
      </c>
      <c r="Z46" s="4">
        <v>41387.815300000002</v>
      </c>
    </row>
    <row r="47" spans="1:26" x14ac:dyDescent="0.2">
      <c r="A47" s="3">
        <v>41518</v>
      </c>
      <c r="B47" s="4">
        <v>85917.430900000007</v>
      </c>
      <c r="C47" s="4">
        <v>6997.4966999999997</v>
      </c>
      <c r="D47" s="4">
        <v>444.0675</v>
      </c>
      <c r="E47" s="4">
        <v>6553.4291999999996</v>
      </c>
      <c r="F47" s="5">
        <v>36844.843500000003</v>
      </c>
      <c r="G47" s="4">
        <v>326.68689999999998</v>
      </c>
      <c r="H47" s="4">
        <v>36518.156600000002</v>
      </c>
      <c r="I47" s="4">
        <v>-36.508099999999999</v>
      </c>
      <c r="J47" s="5">
        <v>0</v>
      </c>
      <c r="K47" s="4">
        <v>0</v>
      </c>
      <c r="L47" s="4">
        <v>0</v>
      </c>
      <c r="M47" s="4">
        <v>42111.597199999997</v>
      </c>
      <c r="N47" s="4">
        <v>16039.5622</v>
      </c>
      <c r="O47" s="4">
        <v>0</v>
      </c>
      <c r="P47" s="4">
        <v>26072.035</v>
      </c>
      <c r="Q47" s="4">
        <v>1.6999999999999999E-3</v>
      </c>
      <c r="R47" s="4">
        <v>0</v>
      </c>
      <c r="S47" s="4">
        <v>85917.429199999999</v>
      </c>
      <c r="T47" s="4">
        <v>85838.343399999998</v>
      </c>
      <c r="U47" s="4">
        <v>79.085800000000006</v>
      </c>
      <c r="V47" s="4">
        <v>85917.430900000007</v>
      </c>
      <c r="W47" s="4">
        <v>30389.804400000001</v>
      </c>
      <c r="X47" s="4">
        <v>1005.3925</v>
      </c>
      <c r="Y47" s="4">
        <v>11721.792799999999</v>
      </c>
      <c r="Z47" s="4">
        <v>42800.439599999998</v>
      </c>
    </row>
    <row r="48" spans="1:26" x14ac:dyDescent="0.2">
      <c r="A48" s="3">
        <v>41609</v>
      </c>
      <c r="B48" s="4">
        <v>89313.533599999995</v>
      </c>
      <c r="C48" s="4">
        <v>6388.1403</v>
      </c>
      <c r="D48" s="4">
        <v>275.66829999999999</v>
      </c>
      <c r="E48" s="4">
        <v>6112.4719999999998</v>
      </c>
      <c r="F48" s="5">
        <v>37176.616699999999</v>
      </c>
      <c r="G48" s="4">
        <v>78.611900000000006</v>
      </c>
      <c r="H48" s="4">
        <v>37098.004800000002</v>
      </c>
      <c r="I48" s="4">
        <v>-67.450299999999999</v>
      </c>
      <c r="J48" s="5">
        <v>0</v>
      </c>
      <c r="K48" s="4">
        <v>0</v>
      </c>
      <c r="L48" s="4">
        <v>0</v>
      </c>
      <c r="M48" s="4">
        <v>45816.225200000001</v>
      </c>
      <c r="N48" s="4">
        <v>16655.908100000001</v>
      </c>
      <c r="O48" s="4">
        <v>0</v>
      </c>
      <c r="P48" s="4">
        <v>29160.3171</v>
      </c>
      <c r="Q48" s="4">
        <v>1.6999999999999999E-3</v>
      </c>
      <c r="R48" s="4">
        <v>0</v>
      </c>
      <c r="S48" s="4">
        <v>89313.531799999997</v>
      </c>
      <c r="T48" s="4">
        <v>89202.867899999997</v>
      </c>
      <c r="U48" s="4">
        <v>110.6639</v>
      </c>
      <c r="V48" s="4">
        <v>89313.533599999995</v>
      </c>
      <c r="W48" s="4">
        <v>34694.388299999999</v>
      </c>
      <c r="X48" s="4">
        <v>685.87620000000004</v>
      </c>
      <c r="Y48" s="4">
        <v>11121.8369</v>
      </c>
      <c r="Z48" s="4">
        <v>42811.430500000002</v>
      </c>
    </row>
    <row r="49" spans="1:26" x14ac:dyDescent="0.2">
      <c r="A49" s="3">
        <v>41699</v>
      </c>
      <c r="B49" s="4">
        <v>93362.866599999994</v>
      </c>
      <c r="C49" s="4">
        <v>8411.9583000000002</v>
      </c>
      <c r="D49" s="4">
        <v>375.2414</v>
      </c>
      <c r="E49" s="4">
        <v>8036.7169000000004</v>
      </c>
      <c r="F49" s="5">
        <v>38514.028599999998</v>
      </c>
      <c r="G49" s="4">
        <v>650.20360000000005</v>
      </c>
      <c r="H49" s="4">
        <v>37863.824999999997</v>
      </c>
      <c r="I49" s="4">
        <v>42.635100000000001</v>
      </c>
      <c r="J49" s="5">
        <v>0</v>
      </c>
      <c r="K49" s="4">
        <v>0</v>
      </c>
      <c r="L49" s="4">
        <v>0</v>
      </c>
      <c r="M49" s="4">
        <v>46394.242899999997</v>
      </c>
      <c r="N49" s="4">
        <v>16581.725200000001</v>
      </c>
      <c r="O49" s="4">
        <v>0</v>
      </c>
      <c r="P49" s="4">
        <v>29812.517800000001</v>
      </c>
      <c r="Q49" s="4">
        <v>1.6999999999999999E-3</v>
      </c>
      <c r="R49" s="4">
        <v>0</v>
      </c>
      <c r="S49" s="4">
        <v>93362.8649</v>
      </c>
      <c r="T49" s="4">
        <v>93279.939400000003</v>
      </c>
      <c r="U49" s="4">
        <v>82.9255</v>
      </c>
      <c r="V49" s="4">
        <v>93362.866599999994</v>
      </c>
      <c r="W49" s="4">
        <v>34799.533499999998</v>
      </c>
      <c r="X49" s="4">
        <v>1140.5743</v>
      </c>
      <c r="Y49" s="4">
        <v>11594.7094</v>
      </c>
      <c r="Z49" s="4">
        <v>45828.047700000003</v>
      </c>
    </row>
    <row r="50" spans="1:26" x14ac:dyDescent="0.2">
      <c r="A50" s="3">
        <v>41791</v>
      </c>
      <c r="B50" s="4">
        <v>98098.784499999994</v>
      </c>
      <c r="C50" s="4">
        <v>8143.1932999999999</v>
      </c>
      <c r="D50" s="4">
        <v>156.05619999999999</v>
      </c>
      <c r="E50" s="4">
        <v>7987.1370999999999</v>
      </c>
      <c r="F50" s="5">
        <v>40182.261700000003</v>
      </c>
      <c r="G50" s="4">
        <v>496.19</v>
      </c>
      <c r="H50" s="4">
        <v>39686.071600000003</v>
      </c>
      <c r="I50" s="4">
        <v>97.298400000000001</v>
      </c>
      <c r="J50" s="5">
        <v>0</v>
      </c>
      <c r="K50" s="4">
        <v>0</v>
      </c>
      <c r="L50" s="4">
        <v>0</v>
      </c>
      <c r="M50" s="4">
        <v>49676.029399999999</v>
      </c>
      <c r="N50" s="4">
        <v>17392.775900000001</v>
      </c>
      <c r="O50" s="4">
        <v>0</v>
      </c>
      <c r="P50" s="4">
        <v>32283.253499999999</v>
      </c>
      <c r="Q50" s="4">
        <v>1.6999999999999999E-3</v>
      </c>
      <c r="R50" s="4">
        <v>0</v>
      </c>
      <c r="S50" s="4">
        <v>98098.782800000001</v>
      </c>
      <c r="T50" s="4">
        <v>98022.300199999998</v>
      </c>
      <c r="U50" s="4">
        <v>76.482600000000005</v>
      </c>
      <c r="V50" s="4">
        <v>98098.784499999994</v>
      </c>
      <c r="W50" s="4">
        <v>38020.5389</v>
      </c>
      <c r="X50" s="4">
        <v>1131.819</v>
      </c>
      <c r="Y50" s="4">
        <v>11655.4905</v>
      </c>
      <c r="Z50" s="4">
        <v>47290.934399999998</v>
      </c>
    </row>
    <row r="51" spans="1:26" x14ac:dyDescent="0.2">
      <c r="A51" s="3">
        <v>41883</v>
      </c>
      <c r="B51" s="4">
        <v>102875.37480000001</v>
      </c>
      <c r="C51" s="4">
        <v>7951.0780999999997</v>
      </c>
      <c r="D51" s="4">
        <v>346.65280000000001</v>
      </c>
      <c r="E51" s="4">
        <v>7604.4251999999997</v>
      </c>
      <c r="F51" s="5">
        <v>41496.273000000001</v>
      </c>
      <c r="G51" s="4">
        <v>389.36669999999998</v>
      </c>
      <c r="H51" s="4">
        <v>41106.906300000002</v>
      </c>
      <c r="I51" s="4">
        <v>-100.92700000000001</v>
      </c>
      <c r="J51" s="5">
        <v>0</v>
      </c>
      <c r="K51" s="4">
        <v>0</v>
      </c>
      <c r="L51" s="4">
        <v>0</v>
      </c>
      <c r="M51" s="4">
        <v>53528.949000000001</v>
      </c>
      <c r="N51" s="4">
        <v>18280.2058</v>
      </c>
      <c r="O51" s="4">
        <v>0</v>
      </c>
      <c r="P51" s="4">
        <v>35248.743199999997</v>
      </c>
      <c r="Q51" s="4">
        <v>1.6999999999999999E-3</v>
      </c>
      <c r="R51" s="4">
        <v>0</v>
      </c>
      <c r="S51" s="4">
        <v>102875.3731</v>
      </c>
      <c r="T51" s="4">
        <v>102798.07060000001</v>
      </c>
      <c r="U51" s="4">
        <v>77.302499999999995</v>
      </c>
      <c r="V51" s="4">
        <v>102875.37480000001</v>
      </c>
      <c r="W51" s="4">
        <v>41569.500399999997</v>
      </c>
      <c r="X51" s="4">
        <v>1573.0661</v>
      </c>
      <c r="Y51" s="4">
        <v>11959.448700000001</v>
      </c>
      <c r="Z51" s="4">
        <v>47773.357900000003</v>
      </c>
    </row>
    <row r="52" spans="1:26" x14ac:dyDescent="0.2">
      <c r="A52" s="3">
        <v>41974</v>
      </c>
      <c r="B52" s="4">
        <v>105372.65059999999</v>
      </c>
      <c r="C52" s="4">
        <v>8479.6910000000007</v>
      </c>
      <c r="D52" s="4">
        <v>318.41629999999998</v>
      </c>
      <c r="E52" s="4">
        <v>8161.2746999999999</v>
      </c>
      <c r="F52" s="5">
        <v>42892.592700000001</v>
      </c>
      <c r="G52" s="4">
        <v>86.066199999999995</v>
      </c>
      <c r="H52" s="4">
        <v>42806.5265</v>
      </c>
      <c r="I52" s="4">
        <v>-4.0244</v>
      </c>
      <c r="J52" s="5">
        <v>0</v>
      </c>
      <c r="K52" s="4">
        <v>0</v>
      </c>
      <c r="L52" s="4">
        <v>0</v>
      </c>
      <c r="M52" s="4">
        <v>54004.389600000002</v>
      </c>
      <c r="N52" s="4">
        <v>18400.1558</v>
      </c>
      <c r="O52" s="4">
        <v>0</v>
      </c>
      <c r="P52" s="4">
        <v>35604.233800000002</v>
      </c>
      <c r="Q52" s="4">
        <v>1.6999999999999999E-3</v>
      </c>
      <c r="R52" s="4">
        <v>0</v>
      </c>
      <c r="S52" s="4">
        <v>105372.6488</v>
      </c>
      <c r="T52" s="4">
        <v>105279.6801</v>
      </c>
      <c r="U52" s="4">
        <v>92.968800000000002</v>
      </c>
      <c r="V52" s="4">
        <v>105372.65059999999</v>
      </c>
      <c r="W52" s="4">
        <v>42195.701500000003</v>
      </c>
      <c r="X52" s="4">
        <v>1156.8775000000001</v>
      </c>
      <c r="Y52" s="4">
        <v>11808.688</v>
      </c>
      <c r="Z52" s="4">
        <v>50211.381800000003</v>
      </c>
    </row>
    <row r="53" spans="1:26" x14ac:dyDescent="0.2">
      <c r="A53" s="3">
        <v>42064</v>
      </c>
      <c r="B53" s="4">
        <v>109905.7484</v>
      </c>
      <c r="C53" s="4">
        <v>8327.4058000000005</v>
      </c>
      <c r="D53" s="4">
        <v>446.3186</v>
      </c>
      <c r="E53" s="4">
        <v>7881.0873000000001</v>
      </c>
      <c r="F53" s="5">
        <v>43694.434300000001</v>
      </c>
      <c r="G53" s="4">
        <v>499.93349999999998</v>
      </c>
      <c r="H53" s="4">
        <v>43194.500800000002</v>
      </c>
      <c r="I53" s="4">
        <v>8.8165999999999993</v>
      </c>
      <c r="J53" s="5">
        <v>0</v>
      </c>
      <c r="K53" s="4">
        <v>0</v>
      </c>
      <c r="L53" s="4">
        <v>0</v>
      </c>
      <c r="M53" s="4">
        <v>57875.089899999999</v>
      </c>
      <c r="N53" s="4">
        <v>19476.2166</v>
      </c>
      <c r="O53" s="4">
        <v>0</v>
      </c>
      <c r="P53" s="4">
        <v>38398.873399999997</v>
      </c>
      <c r="Q53" s="4">
        <v>1.6999999999999999E-3</v>
      </c>
      <c r="R53" s="4">
        <v>0</v>
      </c>
      <c r="S53" s="4">
        <v>109905.7467</v>
      </c>
      <c r="T53" s="4">
        <v>109808.21279999999</v>
      </c>
      <c r="U53" s="4">
        <v>97.533900000000003</v>
      </c>
      <c r="V53" s="4">
        <v>109905.7484</v>
      </c>
      <c r="W53" s="4">
        <v>45964.888700000003</v>
      </c>
      <c r="X53" s="4">
        <v>1318.3806999999999</v>
      </c>
      <c r="Y53" s="4">
        <v>11910.201300000001</v>
      </c>
      <c r="Z53" s="4">
        <v>50712.276100000003</v>
      </c>
    </row>
    <row r="54" spans="1:26" x14ac:dyDescent="0.2">
      <c r="A54" s="3">
        <v>42156</v>
      </c>
      <c r="B54" s="4">
        <v>110849.50689999999</v>
      </c>
      <c r="C54" s="4">
        <v>7339.7031999999999</v>
      </c>
      <c r="D54" s="4">
        <v>214.8424</v>
      </c>
      <c r="E54" s="4">
        <v>7124.8608000000004</v>
      </c>
      <c r="F54" s="5">
        <v>45242.758199999997</v>
      </c>
      <c r="G54" s="4">
        <v>413.57929999999999</v>
      </c>
      <c r="H54" s="4">
        <v>44829.178899999999</v>
      </c>
      <c r="I54" s="4">
        <v>-167.25960000000001</v>
      </c>
      <c r="J54" s="5">
        <v>0</v>
      </c>
      <c r="K54" s="4">
        <v>0</v>
      </c>
      <c r="L54" s="4">
        <v>0</v>
      </c>
      <c r="M54" s="4">
        <v>58434.303500000002</v>
      </c>
      <c r="N54" s="4">
        <v>18696.925999999999</v>
      </c>
      <c r="O54" s="4">
        <v>0</v>
      </c>
      <c r="P54" s="4">
        <v>39737.377500000002</v>
      </c>
      <c r="Q54" s="4">
        <v>1.6999999999999999E-3</v>
      </c>
      <c r="R54" s="4">
        <v>0</v>
      </c>
      <c r="S54" s="4">
        <v>110849.5052</v>
      </c>
      <c r="T54" s="4">
        <v>110746.7132</v>
      </c>
      <c r="U54" s="4">
        <v>102.792</v>
      </c>
      <c r="V54" s="4">
        <v>110849.50689999999</v>
      </c>
      <c r="W54" s="4">
        <v>46269.839099999997</v>
      </c>
      <c r="X54" s="4">
        <v>1081.6641999999999</v>
      </c>
      <c r="Y54" s="4">
        <v>12164.464400000001</v>
      </c>
      <c r="Z54" s="4">
        <v>51333.537600000003</v>
      </c>
    </row>
    <row r="55" spans="1:26" x14ac:dyDescent="0.2">
      <c r="A55" s="3">
        <v>42248</v>
      </c>
      <c r="B55" s="4">
        <v>111691.6685</v>
      </c>
      <c r="C55" s="4">
        <v>9074.6725999999999</v>
      </c>
      <c r="D55" s="4">
        <v>556.0403</v>
      </c>
      <c r="E55" s="4">
        <v>8518.6322</v>
      </c>
      <c r="F55" s="5">
        <v>48340.978499999997</v>
      </c>
      <c r="G55" s="4">
        <v>69.509600000000006</v>
      </c>
      <c r="H55" s="4">
        <v>48271.4689</v>
      </c>
      <c r="I55" s="4">
        <v>-374.31990000000002</v>
      </c>
      <c r="J55" s="5">
        <v>0</v>
      </c>
      <c r="K55" s="4">
        <v>0</v>
      </c>
      <c r="L55" s="4">
        <v>0</v>
      </c>
      <c r="M55" s="4">
        <v>54650.335700000003</v>
      </c>
      <c r="N55" s="4">
        <v>17536.9277</v>
      </c>
      <c r="O55" s="4">
        <v>0</v>
      </c>
      <c r="P55" s="4">
        <v>37113.408000000003</v>
      </c>
      <c r="Q55" s="4">
        <v>1.6999999999999999E-3</v>
      </c>
      <c r="R55" s="4">
        <v>0</v>
      </c>
      <c r="S55" s="4">
        <v>111691.66680000001</v>
      </c>
      <c r="T55" s="4">
        <v>111568.79829999999</v>
      </c>
      <c r="U55" s="4">
        <v>122.8685</v>
      </c>
      <c r="V55" s="4">
        <v>111691.6685</v>
      </c>
      <c r="W55" s="4">
        <v>42889.165200000003</v>
      </c>
      <c r="X55" s="4">
        <v>1896.8488</v>
      </c>
      <c r="Y55" s="4">
        <v>11761.1705</v>
      </c>
      <c r="Z55" s="4">
        <v>55144.482300000003</v>
      </c>
    </row>
    <row r="56" spans="1:26" x14ac:dyDescent="0.2">
      <c r="A56" s="3">
        <v>42339</v>
      </c>
      <c r="B56" s="4">
        <v>115052.65429999999</v>
      </c>
      <c r="C56" s="4">
        <v>10138.5754</v>
      </c>
      <c r="D56" s="4">
        <v>700.57159999999999</v>
      </c>
      <c r="E56" s="4">
        <v>9438.0036999999993</v>
      </c>
      <c r="F56" s="5">
        <v>48306.498599999999</v>
      </c>
      <c r="G56" s="4">
        <v>0.19839999999999999</v>
      </c>
      <c r="H56" s="4">
        <v>48306.300199999998</v>
      </c>
      <c r="I56" s="4">
        <v>-105.3952</v>
      </c>
      <c r="J56" s="5">
        <v>0</v>
      </c>
      <c r="K56" s="4">
        <v>0</v>
      </c>
      <c r="L56" s="4">
        <v>0</v>
      </c>
      <c r="M56" s="4">
        <v>56712.973899999997</v>
      </c>
      <c r="N56" s="4">
        <v>18122.224099999999</v>
      </c>
      <c r="O56" s="4">
        <v>0</v>
      </c>
      <c r="P56" s="4">
        <v>38590.749799999998</v>
      </c>
      <c r="Q56" s="4">
        <v>1.6999999999999999E-3</v>
      </c>
      <c r="R56" s="4">
        <v>0</v>
      </c>
      <c r="S56" s="4">
        <v>115052.65270000001</v>
      </c>
      <c r="T56" s="4">
        <v>114899.03350000001</v>
      </c>
      <c r="U56" s="4">
        <v>153.61920000000001</v>
      </c>
      <c r="V56" s="4">
        <v>115052.65429999999</v>
      </c>
      <c r="W56" s="4">
        <v>44500.669699999999</v>
      </c>
      <c r="X56" s="4">
        <v>2086.2658000000001</v>
      </c>
      <c r="Y56" s="4">
        <v>12212.3042</v>
      </c>
      <c r="Z56" s="4">
        <v>56253.413</v>
      </c>
    </row>
    <row r="57" spans="1:26" x14ac:dyDescent="0.2">
      <c r="A57" s="3">
        <v>42430</v>
      </c>
      <c r="B57" s="4">
        <v>116112.5825</v>
      </c>
      <c r="C57" s="4">
        <v>10572.5489</v>
      </c>
      <c r="D57" s="4">
        <v>450.8032</v>
      </c>
      <c r="E57" s="4">
        <v>10121.745699999999</v>
      </c>
      <c r="F57" s="5">
        <v>51309.276899999997</v>
      </c>
      <c r="G57" s="4">
        <v>407.27069999999998</v>
      </c>
      <c r="H57" s="4">
        <v>50902.006200000003</v>
      </c>
      <c r="I57" s="4">
        <v>25.048500000000001</v>
      </c>
      <c r="J57" s="5">
        <v>0</v>
      </c>
      <c r="K57" s="4">
        <v>0</v>
      </c>
      <c r="L57" s="4">
        <v>0</v>
      </c>
      <c r="M57" s="4">
        <v>54205.7065</v>
      </c>
      <c r="N57" s="4">
        <v>16727.055700000001</v>
      </c>
      <c r="O57" s="4">
        <v>0</v>
      </c>
      <c r="P57" s="4">
        <v>37478.650800000003</v>
      </c>
      <c r="Q57" s="4">
        <v>1.6999999999999999E-3</v>
      </c>
      <c r="R57" s="4">
        <v>0</v>
      </c>
      <c r="S57" s="4">
        <v>116112.5808</v>
      </c>
      <c r="T57" s="4">
        <v>116008.7453</v>
      </c>
      <c r="U57" s="4">
        <v>103.8356</v>
      </c>
      <c r="V57" s="4">
        <v>116112.5825</v>
      </c>
      <c r="W57" s="4">
        <v>41192.523200000003</v>
      </c>
      <c r="X57" s="4">
        <v>4072.7379000000001</v>
      </c>
      <c r="Y57" s="4">
        <v>13013.183300000001</v>
      </c>
      <c r="Z57" s="4">
        <v>57834.136500000001</v>
      </c>
    </row>
    <row r="58" spans="1:26" x14ac:dyDescent="0.2">
      <c r="A58" s="3">
        <v>42522</v>
      </c>
      <c r="B58" s="4">
        <v>117034.87940000001</v>
      </c>
      <c r="C58" s="4">
        <v>9690.4701000000005</v>
      </c>
      <c r="D58" s="4">
        <v>646.34680000000003</v>
      </c>
      <c r="E58" s="4">
        <v>9044.1232999999993</v>
      </c>
      <c r="F58" s="5">
        <v>54818.273500000003</v>
      </c>
      <c r="G58" s="4">
        <v>722.41309999999999</v>
      </c>
      <c r="H58" s="4">
        <v>54095.860399999998</v>
      </c>
      <c r="I58" s="4">
        <v>312.4991</v>
      </c>
      <c r="J58" s="5">
        <v>0</v>
      </c>
      <c r="K58" s="4">
        <v>0</v>
      </c>
      <c r="L58" s="4">
        <v>0</v>
      </c>
      <c r="M58" s="4">
        <v>52213.6351</v>
      </c>
      <c r="N58" s="4">
        <v>14527.434300000001</v>
      </c>
      <c r="O58" s="4">
        <v>0</v>
      </c>
      <c r="P58" s="4">
        <v>37686.200799999999</v>
      </c>
      <c r="Q58" s="4">
        <v>1.6999999999999999E-3</v>
      </c>
      <c r="R58" s="4">
        <v>0</v>
      </c>
      <c r="S58" s="4">
        <v>117034.8777</v>
      </c>
      <c r="T58" s="4">
        <v>116942.0432</v>
      </c>
      <c r="U58" s="4">
        <v>92.834500000000006</v>
      </c>
      <c r="V58" s="4">
        <v>117034.87940000001</v>
      </c>
      <c r="W58" s="4">
        <v>38915.153100000003</v>
      </c>
      <c r="X58" s="4">
        <v>4834.4223000000002</v>
      </c>
      <c r="Y58" s="4">
        <v>13298.482099999999</v>
      </c>
      <c r="Z58" s="4">
        <v>59986.820299999999</v>
      </c>
    </row>
    <row r="59" spans="1:26" x14ac:dyDescent="0.2">
      <c r="A59" s="3">
        <v>42614</v>
      </c>
      <c r="B59" s="4">
        <v>122653.6615</v>
      </c>
      <c r="C59" s="4">
        <v>10151.426299999999</v>
      </c>
      <c r="D59" s="4">
        <v>572.86019999999996</v>
      </c>
      <c r="E59" s="4">
        <v>9578.5661</v>
      </c>
      <c r="F59" s="5">
        <v>58645.552199999998</v>
      </c>
      <c r="G59" s="4">
        <v>1043.2281</v>
      </c>
      <c r="H59" s="4">
        <v>57602.324099999998</v>
      </c>
      <c r="I59" s="4">
        <v>247.81200000000001</v>
      </c>
      <c r="J59" s="5">
        <v>0</v>
      </c>
      <c r="K59" s="4">
        <v>0</v>
      </c>
      <c r="L59" s="4">
        <v>0</v>
      </c>
      <c r="M59" s="4">
        <v>53608.869299999998</v>
      </c>
      <c r="N59" s="4">
        <v>14345.951999999999</v>
      </c>
      <c r="O59" s="4">
        <v>0</v>
      </c>
      <c r="P59" s="4">
        <v>39262.917300000001</v>
      </c>
      <c r="Q59" s="4">
        <v>1.6999999999999999E-3</v>
      </c>
      <c r="R59" s="4">
        <v>0</v>
      </c>
      <c r="S59" s="4">
        <v>122653.65979999999</v>
      </c>
      <c r="T59" s="4">
        <v>122553.0223</v>
      </c>
      <c r="U59" s="4">
        <v>100.6375</v>
      </c>
      <c r="V59" s="4">
        <v>122653.6615</v>
      </c>
      <c r="W59" s="4">
        <v>39046.1754</v>
      </c>
      <c r="X59" s="4">
        <v>4036.4234000000001</v>
      </c>
      <c r="Y59" s="4">
        <v>14562.6939</v>
      </c>
      <c r="Z59" s="4">
        <v>65008.367200000001</v>
      </c>
    </row>
    <row r="60" spans="1:26" x14ac:dyDescent="0.2">
      <c r="A60" s="3">
        <v>42705</v>
      </c>
      <c r="B60" s="4">
        <v>122818.86629999999</v>
      </c>
      <c r="C60" s="4">
        <v>9083.6676000000007</v>
      </c>
      <c r="D60" s="4">
        <v>342.55459999999999</v>
      </c>
      <c r="E60" s="4">
        <v>8741.1129999999994</v>
      </c>
      <c r="F60" s="5">
        <v>59561.7016</v>
      </c>
      <c r="G60" s="4">
        <v>608.72799999999995</v>
      </c>
      <c r="H60" s="4">
        <v>58952.973599999998</v>
      </c>
      <c r="I60" s="4">
        <v>105.42019999999999</v>
      </c>
      <c r="J60" s="5">
        <v>0</v>
      </c>
      <c r="K60" s="4">
        <v>0</v>
      </c>
      <c r="L60" s="4">
        <v>0</v>
      </c>
      <c r="M60" s="4">
        <v>54068.075199999999</v>
      </c>
      <c r="N60" s="4">
        <v>16128.1034</v>
      </c>
      <c r="O60" s="4">
        <v>0</v>
      </c>
      <c r="P60" s="4">
        <v>37939.971799999999</v>
      </c>
      <c r="Q60" s="4">
        <v>1.6999999999999999E-3</v>
      </c>
      <c r="R60" s="4">
        <v>0</v>
      </c>
      <c r="S60" s="4">
        <v>122818.8646</v>
      </c>
      <c r="T60" s="4">
        <v>122712.1298</v>
      </c>
      <c r="U60" s="4">
        <v>106.73480000000001</v>
      </c>
      <c r="V60" s="4">
        <v>122818.86629999999</v>
      </c>
      <c r="W60" s="4">
        <v>39433.171900000001</v>
      </c>
      <c r="X60" s="4">
        <v>3459.7685000000001</v>
      </c>
      <c r="Y60" s="4">
        <v>14634.9033</v>
      </c>
      <c r="Z60" s="4">
        <v>65291.020900000003</v>
      </c>
    </row>
    <row r="61" spans="1:26" x14ac:dyDescent="0.2">
      <c r="A61" s="3">
        <v>42795</v>
      </c>
      <c r="B61" s="4">
        <v>130065.82769999999</v>
      </c>
      <c r="C61" s="4">
        <v>7348.2861999999996</v>
      </c>
      <c r="D61" s="4">
        <v>356.86189999999999</v>
      </c>
      <c r="E61" s="4">
        <v>6991.4242999999997</v>
      </c>
      <c r="F61" s="5">
        <v>63058.894699999997</v>
      </c>
      <c r="G61" s="4">
        <v>658.22379999999998</v>
      </c>
      <c r="H61" s="4">
        <v>62400.670899999997</v>
      </c>
      <c r="I61" s="4">
        <v>65.325900000000004</v>
      </c>
      <c r="J61" s="5">
        <v>0</v>
      </c>
      <c r="K61" s="4">
        <v>0</v>
      </c>
      <c r="L61" s="4">
        <v>0</v>
      </c>
      <c r="M61" s="4">
        <v>59593.319199999998</v>
      </c>
      <c r="N61" s="4">
        <v>18462.1459</v>
      </c>
      <c r="O61" s="4">
        <v>0</v>
      </c>
      <c r="P61" s="4">
        <v>41131.173300000002</v>
      </c>
      <c r="Q61" s="4">
        <v>1.6999999999999999E-3</v>
      </c>
      <c r="R61" s="4">
        <v>0</v>
      </c>
      <c r="S61" s="4">
        <v>130065.8259</v>
      </c>
      <c r="T61" s="4">
        <v>129944.57180000001</v>
      </c>
      <c r="U61" s="4">
        <v>121.25409999999999</v>
      </c>
      <c r="V61" s="4">
        <v>130065.82769999999</v>
      </c>
      <c r="W61" s="4">
        <v>41911.533199999998</v>
      </c>
      <c r="X61" s="4">
        <v>4105.6025</v>
      </c>
      <c r="Y61" s="4">
        <v>17681.785899999999</v>
      </c>
      <c r="Z61" s="4">
        <v>66366.904299999995</v>
      </c>
    </row>
    <row r="62" spans="1:26" x14ac:dyDescent="0.2">
      <c r="A62" s="3">
        <v>42887</v>
      </c>
      <c r="B62" s="4">
        <v>132876.6587</v>
      </c>
      <c r="C62" s="4">
        <v>8345.0969000000005</v>
      </c>
      <c r="D62" s="4">
        <v>288.5095</v>
      </c>
      <c r="E62" s="4">
        <v>8056.5874000000003</v>
      </c>
      <c r="F62" s="5">
        <v>62535.413200000003</v>
      </c>
      <c r="G62" s="4">
        <v>749.25990000000002</v>
      </c>
      <c r="H62" s="4">
        <v>61786.153299999998</v>
      </c>
      <c r="I62" s="4">
        <v>-33.432499999999997</v>
      </c>
      <c r="J62" s="5">
        <v>0</v>
      </c>
      <c r="K62" s="4">
        <v>0</v>
      </c>
      <c r="L62" s="4">
        <v>0</v>
      </c>
      <c r="M62" s="4">
        <v>62029.5795</v>
      </c>
      <c r="N62" s="4">
        <v>17510.374800000001</v>
      </c>
      <c r="O62" s="4">
        <v>0</v>
      </c>
      <c r="P62" s="4">
        <v>44519.204700000002</v>
      </c>
      <c r="Q62" s="4">
        <v>1.6999999999999999E-3</v>
      </c>
      <c r="R62" s="4">
        <v>0</v>
      </c>
      <c r="S62" s="4">
        <v>132876.65700000001</v>
      </c>
      <c r="T62" s="4">
        <v>132750.0055</v>
      </c>
      <c r="U62" s="4">
        <v>126.6514</v>
      </c>
      <c r="V62" s="4">
        <v>132876.6587</v>
      </c>
      <c r="W62" s="4">
        <v>44573.055899999999</v>
      </c>
      <c r="X62" s="4">
        <v>3184.7692999999999</v>
      </c>
      <c r="Y62" s="4">
        <v>17456.5236</v>
      </c>
      <c r="Z62" s="4">
        <v>67662.308199999999</v>
      </c>
    </row>
    <row r="63" spans="1:26" x14ac:dyDescent="0.2">
      <c r="A63" s="3">
        <v>42979</v>
      </c>
      <c r="B63" s="4">
        <v>134982.08600000001</v>
      </c>
      <c r="C63" s="4">
        <v>9232.7072000000007</v>
      </c>
      <c r="D63" s="4">
        <v>253.76769999999999</v>
      </c>
      <c r="E63" s="4">
        <v>8978.9395000000004</v>
      </c>
      <c r="F63" s="5">
        <v>59118.610800000002</v>
      </c>
      <c r="G63" s="4">
        <v>687.57280000000003</v>
      </c>
      <c r="H63" s="4">
        <v>58431.038</v>
      </c>
      <c r="I63" s="4">
        <v>117.33710000000001</v>
      </c>
      <c r="J63" s="5">
        <v>0</v>
      </c>
      <c r="K63" s="4">
        <v>0</v>
      </c>
      <c r="L63" s="4">
        <v>0</v>
      </c>
      <c r="M63" s="4">
        <v>66513.429199999999</v>
      </c>
      <c r="N63" s="4">
        <v>18407.7647</v>
      </c>
      <c r="O63" s="4">
        <v>0</v>
      </c>
      <c r="P63" s="4">
        <v>48105.664499999999</v>
      </c>
      <c r="Q63" s="4">
        <v>1.6999999999999999E-3</v>
      </c>
      <c r="R63" s="4">
        <v>0</v>
      </c>
      <c r="S63" s="4">
        <v>134982.08420000001</v>
      </c>
      <c r="T63" s="4">
        <v>134880.179</v>
      </c>
      <c r="U63" s="4">
        <v>101.90519999999999</v>
      </c>
      <c r="V63" s="4">
        <v>134982.08600000001</v>
      </c>
      <c r="W63" s="4">
        <v>46946.8897</v>
      </c>
      <c r="X63" s="4">
        <v>2556.5805999999998</v>
      </c>
      <c r="Y63" s="4">
        <v>19566.539499999999</v>
      </c>
      <c r="Z63" s="4">
        <v>65912.074600000007</v>
      </c>
    </row>
    <row r="64" spans="1:26" x14ac:dyDescent="0.2">
      <c r="A64" s="3">
        <v>43070</v>
      </c>
      <c r="B64" s="4">
        <v>136569.40919999999</v>
      </c>
      <c r="C64" s="4">
        <v>10291.6958</v>
      </c>
      <c r="D64" s="4">
        <v>298.64679999999998</v>
      </c>
      <c r="E64" s="4">
        <v>9993.0490000000009</v>
      </c>
      <c r="F64" s="5">
        <v>56529.251100000001</v>
      </c>
      <c r="G64" s="4">
        <v>866.36940000000004</v>
      </c>
      <c r="H64" s="4">
        <v>55662.881699999998</v>
      </c>
      <c r="I64" s="4">
        <v>289.26220000000001</v>
      </c>
      <c r="J64" s="5">
        <v>0</v>
      </c>
      <c r="K64" s="4">
        <v>0</v>
      </c>
      <c r="L64" s="4">
        <v>0</v>
      </c>
      <c r="M64" s="4">
        <v>69459.198399999994</v>
      </c>
      <c r="N64" s="4">
        <v>19499.996200000001</v>
      </c>
      <c r="O64" s="4">
        <v>0</v>
      </c>
      <c r="P64" s="4">
        <v>49959.2022</v>
      </c>
      <c r="Q64" s="4">
        <v>1.6999999999999999E-3</v>
      </c>
      <c r="R64" s="4">
        <v>0</v>
      </c>
      <c r="S64" s="4">
        <v>136569.4075</v>
      </c>
      <c r="T64" s="4">
        <v>136441.65640000001</v>
      </c>
      <c r="U64" s="4">
        <v>127.75109999999999</v>
      </c>
      <c r="V64" s="4">
        <v>136569.40919999999</v>
      </c>
      <c r="W64" s="4">
        <v>51395.6371</v>
      </c>
      <c r="X64" s="4">
        <v>2113.2231000000002</v>
      </c>
      <c r="Y64" s="4">
        <v>18063.561300000001</v>
      </c>
      <c r="Z64" s="4">
        <v>64996.985999999997</v>
      </c>
    </row>
    <row r="65" spans="1:26" x14ac:dyDescent="0.2">
      <c r="A65" s="3">
        <v>43160</v>
      </c>
      <c r="B65" s="4">
        <v>137744.0055</v>
      </c>
      <c r="C65" s="4">
        <v>9256.6668000000009</v>
      </c>
      <c r="D65" s="4">
        <v>351.91109999999998</v>
      </c>
      <c r="E65" s="4">
        <v>8904.7556999999997</v>
      </c>
      <c r="F65" s="5">
        <v>57496.181700000001</v>
      </c>
      <c r="G65" s="4">
        <v>281.93349999999998</v>
      </c>
      <c r="H65" s="4">
        <v>57214.248200000002</v>
      </c>
      <c r="I65" s="4">
        <v>25.6096</v>
      </c>
      <c r="J65" s="5">
        <v>0</v>
      </c>
      <c r="K65" s="4">
        <v>0</v>
      </c>
      <c r="L65" s="4">
        <v>0</v>
      </c>
      <c r="M65" s="4">
        <v>70965.545700000002</v>
      </c>
      <c r="N65" s="4">
        <v>18872.386200000001</v>
      </c>
      <c r="O65" s="4">
        <v>0</v>
      </c>
      <c r="P65" s="4">
        <v>52093.159500000002</v>
      </c>
      <c r="Q65" s="4">
        <v>1.6999999999999999E-3</v>
      </c>
      <c r="R65" s="4">
        <v>0</v>
      </c>
      <c r="S65" s="4">
        <v>137744.0037</v>
      </c>
      <c r="T65" s="4">
        <v>137605.68169999999</v>
      </c>
      <c r="U65" s="4">
        <v>138.322</v>
      </c>
      <c r="V65" s="4">
        <v>137744.0055</v>
      </c>
      <c r="W65" s="4">
        <v>52070.640899999999</v>
      </c>
      <c r="X65" s="4">
        <v>2262.5216999999998</v>
      </c>
      <c r="Y65" s="4">
        <v>18894.9048</v>
      </c>
      <c r="Z65" s="4">
        <v>64515.936399999999</v>
      </c>
    </row>
    <row r="66" spans="1:26" x14ac:dyDescent="0.2">
      <c r="A66" s="3">
        <v>43252</v>
      </c>
      <c r="B66" s="4">
        <v>139072.76819999999</v>
      </c>
      <c r="C66" s="4">
        <v>9858.7255999999998</v>
      </c>
      <c r="D66" s="4">
        <v>825.77290000000005</v>
      </c>
      <c r="E66" s="4">
        <v>9032.9526999999998</v>
      </c>
      <c r="F66" s="5">
        <v>58839.739200000004</v>
      </c>
      <c r="G66" s="4">
        <v>197.0324</v>
      </c>
      <c r="H66" s="4">
        <v>58642.7068</v>
      </c>
      <c r="I66" s="4">
        <v>-365.81290000000001</v>
      </c>
      <c r="J66" s="5">
        <v>0</v>
      </c>
      <c r="K66" s="4">
        <v>0</v>
      </c>
      <c r="L66" s="4">
        <v>0</v>
      </c>
      <c r="M66" s="4">
        <v>70740.114600000001</v>
      </c>
      <c r="N66" s="4">
        <v>17837.540099999998</v>
      </c>
      <c r="O66" s="4">
        <v>0</v>
      </c>
      <c r="P66" s="4">
        <v>52902.574500000002</v>
      </c>
      <c r="Q66" s="4">
        <v>1.6999999999999999E-3</v>
      </c>
      <c r="R66" s="4">
        <v>0</v>
      </c>
      <c r="S66" s="4">
        <v>139072.76639999999</v>
      </c>
      <c r="T66" s="4">
        <v>138956.943</v>
      </c>
      <c r="U66" s="4">
        <v>115.82340000000001</v>
      </c>
      <c r="V66" s="4">
        <v>139072.76819999999</v>
      </c>
      <c r="W66" s="4">
        <v>52450.144200000002</v>
      </c>
      <c r="X66" s="4">
        <v>2648.1277</v>
      </c>
      <c r="Y66" s="4">
        <v>18289.970499999999</v>
      </c>
      <c r="Z66" s="4">
        <v>65684.5242</v>
      </c>
    </row>
    <row r="67" spans="1:26" x14ac:dyDescent="0.2">
      <c r="A67" s="3">
        <v>43344</v>
      </c>
      <c r="B67" s="4">
        <v>142729.4105</v>
      </c>
      <c r="C67" s="4">
        <v>9278.2343999999994</v>
      </c>
      <c r="D67" s="4">
        <v>507.98439999999999</v>
      </c>
      <c r="E67" s="4">
        <v>8770.25</v>
      </c>
      <c r="F67" s="5">
        <v>60881.169099999999</v>
      </c>
      <c r="G67" s="4">
        <v>604.65530000000001</v>
      </c>
      <c r="H67" s="4">
        <v>60276.513800000001</v>
      </c>
      <c r="I67" s="4">
        <v>-163.54329999999999</v>
      </c>
      <c r="J67" s="5">
        <v>0</v>
      </c>
      <c r="K67" s="4">
        <v>0</v>
      </c>
      <c r="L67" s="4">
        <v>0</v>
      </c>
      <c r="M67" s="4">
        <v>72733.548599999995</v>
      </c>
      <c r="N67" s="4">
        <v>18904.574199999999</v>
      </c>
      <c r="O67" s="4">
        <v>0</v>
      </c>
      <c r="P67" s="4">
        <v>53828.974399999999</v>
      </c>
      <c r="Q67" s="4">
        <v>1.6999999999999999E-3</v>
      </c>
      <c r="R67" s="4">
        <v>0</v>
      </c>
      <c r="S67" s="4">
        <v>142729.4087</v>
      </c>
      <c r="T67" s="4">
        <v>142611.1097</v>
      </c>
      <c r="U67" s="4">
        <v>118.29900000000001</v>
      </c>
      <c r="V67" s="4">
        <v>142729.4105</v>
      </c>
      <c r="W67" s="4">
        <v>54053.186900000001</v>
      </c>
      <c r="X67" s="4">
        <v>2507.8555999999999</v>
      </c>
      <c r="Y67" s="4">
        <v>18680.361700000001</v>
      </c>
      <c r="Z67" s="4">
        <v>67488.0046</v>
      </c>
    </row>
    <row r="68" spans="1:26" x14ac:dyDescent="0.2">
      <c r="A68" s="3">
        <v>43435</v>
      </c>
      <c r="B68" s="4">
        <v>142396.46849999999</v>
      </c>
      <c r="C68" s="4">
        <v>10313.2871</v>
      </c>
      <c r="D68" s="4">
        <v>437.41520000000003</v>
      </c>
      <c r="E68" s="4">
        <v>9875.8719000000001</v>
      </c>
      <c r="F68" s="5">
        <v>63166.758500000004</v>
      </c>
      <c r="G68" s="4">
        <v>481.88580000000002</v>
      </c>
      <c r="H68" s="4">
        <v>62684.8727</v>
      </c>
      <c r="I68" s="4">
        <v>-569.33010000000002</v>
      </c>
      <c r="J68" s="5">
        <v>0</v>
      </c>
      <c r="K68" s="4">
        <v>0</v>
      </c>
      <c r="L68" s="4">
        <v>0</v>
      </c>
      <c r="M68" s="4">
        <v>69485.751300000004</v>
      </c>
      <c r="N68" s="4">
        <v>19088.1819</v>
      </c>
      <c r="O68" s="4">
        <v>0</v>
      </c>
      <c r="P68" s="4">
        <v>50397.5694</v>
      </c>
      <c r="Q68" s="4">
        <v>1.6999999999999999E-3</v>
      </c>
      <c r="R68" s="4">
        <v>0</v>
      </c>
      <c r="S68" s="4">
        <v>142396.46669999999</v>
      </c>
      <c r="T68" s="4">
        <v>142219.2457</v>
      </c>
      <c r="U68" s="4">
        <v>177.221</v>
      </c>
      <c r="V68" s="4">
        <v>142396.46849999999</v>
      </c>
      <c r="W68" s="4">
        <v>51120.248200000002</v>
      </c>
      <c r="X68" s="4">
        <v>1910.6583000000001</v>
      </c>
      <c r="Y68" s="4">
        <v>18365.503100000002</v>
      </c>
      <c r="Z68" s="4">
        <v>71000.057199999996</v>
      </c>
    </row>
    <row r="69" spans="1:26" x14ac:dyDescent="0.2">
      <c r="A69" s="3">
        <v>43525</v>
      </c>
      <c r="B69" s="4">
        <v>150114.96479999999</v>
      </c>
      <c r="C69" s="4">
        <v>8724.7397000000001</v>
      </c>
      <c r="D69" s="4">
        <v>207.91839999999999</v>
      </c>
      <c r="E69" s="4">
        <v>8516.8212999999996</v>
      </c>
      <c r="F69" s="5">
        <v>66217.336200000005</v>
      </c>
      <c r="G69" s="4">
        <v>378.8562</v>
      </c>
      <c r="H69" s="4">
        <v>65838.480100000001</v>
      </c>
      <c r="I69" s="4">
        <v>-321.31990000000002</v>
      </c>
      <c r="J69" s="5">
        <v>55.386200000000002</v>
      </c>
      <c r="K69" s="4">
        <v>0</v>
      </c>
      <c r="L69" s="4">
        <v>55.386200000000002</v>
      </c>
      <c r="M69" s="4">
        <v>75438.820800000001</v>
      </c>
      <c r="N69" s="4">
        <v>19813.1113</v>
      </c>
      <c r="O69" s="4">
        <v>0</v>
      </c>
      <c r="P69" s="4">
        <v>55625.709499999997</v>
      </c>
      <c r="Q69" s="4">
        <v>1.6999999999999999E-3</v>
      </c>
      <c r="R69" s="4">
        <v>0</v>
      </c>
      <c r="S69" s="4">
        <v>150114.96299999999</v>
      </c>
      <c r="T69" s="4">
        <v>149988.1367</v>
      </c>
      <c r="U69" s="4">
        <v>126.82640000000001</v>
      </c>
      <c r="V69" s="4">
        <v>150114.96479999999</v>
      </c>
      <c r="W69" s="4">
        <v>56458.487200000003</v>
      </c>
      <c r="X69" s="4">
        <v>1760.6102000000001</v>
      </c>
      <c r="Y69" s="4">
        <v>18980.333600000002</v>
      </c>
      <c r="Z69" s="4">
        <v>72915.532200000001</v>
      </c>
    </row>
    <row r="70" spans="1:26" x14ac:dyDescent="0.2">
      <c r="A70" s="3">
        <v>43617</v>
      </c>
      <c r="B70" s="4">
        <v>157556.1685</v>
      </c>
      <c r="C70" s="4">
        <v>8354.6931999999997</v>
      </c>
      <c r="D70" s="4">
        <v>648.14580000000001</v>
      </c>
      <c r="E70" s="4">
        <v>7706.5474000000004</v>
      </c>
      <c r="F70" s="5">
        <v>71670.842499999999</v>
      </c>
      <c r="G70" s="4">
        <v>194.7809</v>
      </c>
      <c r="H70" s="4">
        <v>71476.061600000001</v>
      </c>
      <c r="I70" s="4">
        <v>-39.255499999999998</v>
      </c>
      <c r="J70" s="5">
        <v>62.165700000000001</v>
      </c>
      <c r="K70" s="4">
        <v>0</v>
      </c>
      <c r="L70" s="4">
        <v>62.165700000000001</v>
      </c>
      <c r="M70" s="4">
        <v>77507.721000000005</v>
      </c>
      <c r="N70" s="4">
        <v>19850.402399999999</v>
      </c>
      <c r="O70" s="4">
        <v>0</v>
      </c>
      <c r="P70" s="4">
        <v>57657.318599999999</v>
      </c>
      <c r="Q70" s="4">
        <v>1.6999999999999999E-3</v>
      </c>
      <c r="R70" s="4">
        <v>0</v>
      </c>
      <c r="S70" s="4">
        <v>157556.1667</v>
      </c>
      <c r="T70" s="4">
        <v>157358.61360000001</v>
      </c>
      <c r="U70" s="4">
        <v>197.5531</v>
      </c>
      <c r="V70" s="4">
        <v>157556.1685</v>
      </c>
      <c r="W70" s="4">
        <v>58432.016499999998</v>
      </c>
      <c r="X70" s="4">
        <v>1708.4767999999999</v>
      </c>
      <c r="Y70" s="4">
        <v>19075.7045</v>
      </c>
      <c r="Z70" s="4">
        <v>78339.968999999997</v>
      </c>
    </row>
    <row r="71" spans="1:26" x14ac:dyDescent="0.2">
      <c r="A71" s="3">
        <v>43709</v>
      </c>
      <c r="B71" s="4">
        <v>166754.5722</v>
      </c>
      <c r="C71" s="4">
        <v>8205.1578000000009</v>
      </c>
      <c r="D71" s="4">
        <v>655.12450000000001</v>
      </c>
      <c r="E71" s="4">
        <v>7550.0333000000001</v>
      </c>
      <c r="F71" s="5">
        <v>80384.559599999993</v>
      </c>
      <c r="G71" s="4">
        <v>343.36169999999998</v>
      </c>
      <c r="H71" s="4">
        <v>80041.197899999999</v>
      </c>
      <c r="I71" s="4">
        <v>-592.60820000000001</v>
      </c>
      <c r="J71" s="5">
        <v>133.3124</v>
      </c>
      <c r="K71" s="4">
        <v>0</v>
      </c>
      <c r="L71" s="4">
        <v>133.3124</v>
      </c>
      <c r="M71" s="4">
        <v>78624.1489</v>
      </c>
      <c r="N71" s="4">
        <v>20641.375400000001</v>
      </c>
      <c r="O71" s="4">
        <v>0</v>
      </c>
      <c r="P71" s="4">
        <v>57982.7736</v>
      </c>
      <c r="Q71" s="4">
        <v>1.6999999999999999E-3</v>
      </c>
      <c r="R71" s="4">
        <v>0</v>
      </c>
      <c r="S71" s="4">
        <v>166754.57029999999</v>
      </c>
      <c r="T71" s="4">
        <v>166606.8616</v>
      </c>
      <c r="U71" s="4">
        <v>147.7088</v>
      </c>
      <c r="V71" s="4">
        <v>166754.5722</v>
      </c>
      <c r="W71" s="4">
        <v>58481.494400000003</v>
      </c>
      <c r="X71" s="4">
        <v>2151.1048000000001</v>
      </c>
      <c r="Y71" s="4">
        <v>20142.654500000001</v>
      </c>
      <c r="Z71" s="4">
        <v>85979.316699999996</v>
      </c>
    </row>
    <row r="72" spans="1:26" x14ac:dyDescent="0.2">
      <c r="A72" s="3">
        <v>43800</v>
      </c>
      <c r="B72" s="4">
        <v>169774.58249999999</v>
      </c>
      <c r="C72" s="4">
        <v>11194.6976</v>
      </c>
      <c r="D72" s="4">
        <v>1269.2587000000001</v>
      </c>
      <c r="E72" s="4">
        <v>9925.4387999999999</v>
      </c>
      <c r="F72" s="5">
        <v>75491.955799999996</v>
      </c>
      <c r="G72" s="4">
        <v>503.98570000000001</v>
      </c>
      <c r="H72" s="4">
        <v>74987.970199999996</v>
      </c>
      <c r="I72" s="4">
        <v>-359.57400000000001</v>
      </c>
      <c r="J72" s="5">
        <v>134.18879999999999</v>
      </c>
      <c r="K72" s="4">
        <v>0</v>
      </c>
      <c r="L72" s="4">
        <v>134.18879999999999</v>
      </c>
      <c r="M72" s="4">
        <v>83313.312600000005</v>
      </c>
      <c r="N72" s="4">
        <v>21054.365600000001</v>
      </c>
      <c r="O72" s="4">
        <v>0</v>
      </c>
      <c r="P72" s="4">
        <v>62258.947</v>
      </c>
      <c r="Q72" s="4">
        <v>1.6999999999999999E-3</v>
      </c>
      <c r="R72" s="4">
        <v>0</v>
      </c>
      <c r="S72" s="4">
        <v>169774.58069999999</v>
      </c>
      <c r="T72" s="4">
        <v>169603.95850000001</v>
      </c>
      <c r="U72" s="4">
        <v>170.62219999999999</v>
      </c>
      <c r="V72" s="4">
        <v>169774.58249999999</v>
      </c>
      <c r="W72" s="4">
        <v>64003.126799999998</v>
      </c>
      <c r="X72" s="4">
        <v>3038.6779999999999</v>
      </c>
      <c r="Y72" s="4">
        <v>19310.1859</v>
      </c>
      <c r="Z72" s="4">
        <v>83422.590200000006</v>
      </c>
    </row>
    <row r="73" spans="1:26" x14ac:dyDescent="0.2">
      <c r="A73" s="3">
        <v>43891</v>
      </c>
      <c r="B73" s="4">
        <v>153902.55189999999</v>
      </c>
      <c r="C73" s="4">
        <v>12358.945</v>
      </c>
      <c r="D73" s="4">
        <v>2357.1477</v>
      </c>
      <c r="E73" s="4">
        <v>10001.7973</v>
      </c>
      <c r="F73" s="5">
        <v>73047.693700000003</v>
      </c>
      <c r="G73" s="4">
        <v>413.38130000000001</v>
      </c>
      <c r="H73" s="4">
        <v>72634.312399999995</v>
      </c>
      <c r="I73" s="4">
        <v>-1698.4691</v>
      </c>
      <c r="J73" s="5">
        <v>87.820700000000002</v>
      </c>
      <c r="K73" s="4">
        <v>0</v>
      </c>
      <c r="L73" s="4">
        <v>87.820700000000002</v>
      </c>
      <c r="M73" s="4">
        <v>70106.559800000003</v>
      </c>
      <c r="N73" s="4">
        <v>15481.1538</v>
      </c>
      <c r="O73" s="4">
        <v>0</v>
      </c>
      <c r="P73" s="4">
        <v>54625.406000000003</v>
      </c>
      <c r="Q73" s="4">
        <v>1.6999999999999999E-3</v>
      </c>
      <c r="R73" s="4">
        <v>0</v>
      </c>
      <c r="S73" s="4">
        <v>153902.55009999999</v>
      </c>
      <c r="T73" s="4">
        <v>153579.0379</v>
      </c>
      <c r="U73" s="4">
        <v>323.51229999999998</v>
      </c>
      <c r="V73" s="4">
        <v>153902.55189999999</v>
      </c>
      <c r="W73" s="4">
        <v>55466.184600000001</v>
      </c>
      <c r="X73" s="4">
        <v>3663.0385000000001</v>
      </c>
      <c r="Y73" s="4">
        <v>14640.3752</v>
      </c>
      <c r="Z73" s="4">
        <v>80132.9519</v>
      </c>
    </row>
    <row r="74" spans="1:26" x14ac:dyDescent="0.2">
      <c r="A74" s="3">
        <v>43983</v>
      </c>
      <c r="B74" s="4">
        <v>173764.21359999999</v>
      </c>
      <c r="C74" s="4">
        <v>7676.0304999999998</v>
      </c>
      <c r="D74" s="4">
        <v>1620.5889</v>
      </c>
      <c r="E74" s="4">
        <v>6055.4416000000001</v>
      </c>
      <c r="F74" s="5">
        <v>82398.932700000005</v>
      </c>
      <c r="G74" s="4">
        <v>3267.9674</v>
      </c>
      <c r="H74" s="4">
        <v>79130.965400000001</v>
      </c>
      <c r="I74" s="4">
        <v>-639.63070000000005</v>
      </c>
      <c r="J74" s="5">
        <v>90.055999999999997</v>
      </c>
      <c r="K74" s="4">
        <v>0</v>
      </c>
      <c r="L74" s="4">
        <v>90.055999999999997</v>
      </c>
      <c r="M74" s="4">
        <v>84238.823399999994</v>
      </c>
      <c r="N74" s="4">
        <v>19288.253499999999</v>
      </c>
      <c r="O74" s="4">
        <v>0</v>
      </c>
      <c r="P74" s="4">
        <v>64950.57</v>
      </c>
      <c r="Q74" s="4">
        <v>1.6999999999999999E-3</v>
      </c>
      <c r="R74" s="4">
        <v>0</v>
      </c>
      <c r="S74" s="4">
        <v>173764.21189999999</v>
      </c>
      <c r="T74" s="4">
        <v>173278.83369999999</v>
      </c>
      <c r="U74" s="4">
        <v>485.37819999999999</v>
      </c>
      <c r="V74" s="4">
        <v>173764.21359999999</v>
      </c>
      <c r="W74" s="4">
        <v>67949.339399999997</v>
      </c>
      <c r="X74" s="4">
        <v>2527.0776000000001</v>
      </c>
      <c r="Y74" s="4">
        <v>16289.484</v>
      </c>
      <c r="Z74" s="4">
        <v>86998.310899999997</v>
      </c>
    </row>
    <row r="75" spans="1:26" x14ac:dyDescent="0.2">
      <c r="A75" s="3">
        <v>44075</v>
      </c>
      <c r="B75" s="4">
        <v>162026.51800000001</v>
      </c>
      <c r="C75" s="4">
        <v>6881.0519999999997</v>
      </c>
      <c r="D75" s="4">
        <v>1768.7933</v>
      </c>
      <c r="E75" s="4">
        <v>5112.2587000000003</v>
      </c>
      <c r="F75" s="5">
        <v>75376.390700000004</v>
      </c>
      <c r="G75" s="4">
        <v>4319.9161999999997</v>
      </c>
      <c r="H75" s="4">
        <v>71056.474499999997</v>
      </c>
      <c r="I75" s="4">
        <v>-347.5258</v>
      </c>
      <c r="J75" s="5">
        <v>90.406400000000005</v>
      </c>
      <c r="K75" s="4">
        <v>0</v>
      </c>
      <c r="L75" s="4">
        <v>90.406400000000005</v>
      </c>
      <c r="M75" s="4">
        <v>80026.192999999999</v>
      </c>
      <c r="N75" s="4">
        <v>16548.4476</v>
      </c>
      <c r="O75" s="4">
        <v>0</v>
      </c>
      <c r="P75" s="4">
        <v>63477.7454</v>
      </c>
      <c r="Q75" s="4">
        <v>1.6999999999999999E-3</v>
      </c>
      <c r="R75" s="4">
        <v>0</v>
      </c>
      <c r="S75" s="4">
        <v>162026.51639999999</v>
      </c>
      <c r="T75" s="4">
        <v>161521.9711</v>
      </c>
      <c r="U75" s="4">
        <v>504.5453</v>
      </c>
      <c r="V75" s="4">
        <v>162026.51800000001</v>
      </c>
      <c r="W75" s="4">
        <v>64382.648699999998</v>
      </c>
      <c r="X75" s="4">
        <v>2644.5668999999998</v>
      </c>
      <c r="Y75" s="4">
        <v>15643.5443</v>
      </c>
      <c r="Z75" s="4">
        <v>79355.756399999998</v>
      </c>
    </row>
    <row r="76" spans="1:26" x14ac:dyDescent="0.2">
      <c r="A76" s="3">
        <v>44166</v>
      </c>
      <c r="B76" s="4">
        <v>160834.2181</v>
      </c>
      <c r="C76" s="4">
        <v>6153.4745999999996</v>
      </c>
      <c r="D76" s="4">
        <v>1764.4722999999999</v>
      </c>
      <c r="E76" s="4">
        <v>4389.0024000000003</v>
      </c>
      <c r="F76" s="5">
        <v>72081.395900000003</v>
      </c>
      <c r="G76" s="4">
        <v>3277.6129000000001</v>
      </c>
      <c r="H76" s="4">
        <v>68803.782999999996</v>
      </c>
      <c r="I76" s="4">
        <v>1437.1309000000001</v>
      </c>
      <c r="J76" s="5">
        <v>99.938599999999994</v>
      </c>
      <c r="K76" s="4">
        <v>0</v>
      </c>
      <c r="L76" s="4">
        <v>99.938599999999994</v>
      </c>
      <c r="M76" s="4">
        <v>81062.276299999998</v>
      </c>
      <c r="N76" s="4">
        <v>18356.894799999998</v>
      </c>
      <c r="O76" s="4">
        <v>0</v>
      </c>
      <c r="P76" s="4">
        <v>62705.381500000003</v>
      </c>
      <c r="Q76" s="4">
        <v>1.6999999999999999E-3</v>
      </c>
      <c r="R76" s="4">
        <v>0</v>
      </c>
      <c r="S76" s="4">
        <v>160834.21650000001</v>
      </c>
      <c r="T76" s="4">
        <v>160344.5735</v>
      </c>
      <c r="U76" s="4">
        <v>489.64299999999997</v>
      </c>
      <c r="V76" s="4">
        <v>160834.2181</v>
      </c>
      <c r="W76" s="4">
        <v>64719.784099999997</v>
      </c>
      <c r="X76" s="4">
        <v>2075.9214999999999</v>
      </c>
      <c r="Y76" s="4">
        <v>16342.492200000001</v>
      </c>
      <c r="Z76" s="4">
        <v>77696.018599999996</v>
      </c>
    </row>
    <row r="77" spans="1:26" x14ac:dyDescent="0.2">
      <c r="A77" s="3">
        <v>44256</v>
      </c>
      <c r="B77" s="4">
        <v>160171.4804</v>
      </c>
      <c r="C77" s="4">
        <v>5049.1307999999999</v>
      </c>
      <c r="D77" s="4">
        <v>1977.0585000000001</v>
      </c>
      <c r="E77" s="4">
        <v>3072.0722999999998</v>
      </c>
      <c r="F77" s="5">
        <v>69123.374800000005</v>
      </c>
      <c r="G77" s="4">
        <v>3229.6322</v>
      </c>
      <c r="H77" s="4">
        <v>65893.742599999998</v>
      </c>
      <c r="I77" s="4">
        <v>466.73399999999998</v>
      </c>
      <c r="J77" s="5">
        <v>95.689499999999995</v>
      </c>
      <c r="K77" s="4">
        <v>0</v>
      </c>
      <c r="L77" s="4">
        <v>95.689499999999995</v>
      </c>
      <c r="M77" s="4">
        <v>85436.549599999998</v>
      </c>
      <c r="N77" s="4">
        <v>21062.905999999999</v>
      </c>
      <c r="O77" s="4">
        <v>0</v>
      </c>
      <c r="P77" s="4">
        <v>64373.643600000003</v>
      </c>
      <c r="Q77" s="4">
        <v>1.6999999999999999E-3</v>
      </c>
      <c r="R77" s="4">
        <v>0</v>
      </c>
      <c r="S77" s="4">
        <v>160171.47889999999</v>
      </c>
      <c r="T77" s="4">
        <v>159696.98869999999</v>
      </c>
      <c r="U77" s="4">
        <v>474.49029999999999</v>
      </c>
      <c r="V77" s="4">
        <v>160171.4804</v>
      </c>
      <c r="W77" s="4">
        <v>67462.706200000001</v>
      </c>
      <c r="X77" s="4">
        <v>1961.2144000000001</v>
      </c>
      <c r="Y77" s="4">
        <v>17973.843400000002</v>
      </c>
      <c r="Z77" s="4">
        <v>72773.714699999997</v>
      </c>
    </row>
    <row r="78" spans="1:26" x14ac:dyDescent="0.2">
      <c r="A78" s="3">
        <v>44348</v>
      </c>
      <c r="B78" s="4">
        <v>148646.5594</v>
      </c>
      <c r="C78" s="4">
        <v>4590.1750000000002</v>
      </c>
      <c r="D78" s="4">
        <v>2136.6857</v>
      </c>
      <c r="E78" s="4">
        <v>2453.4893000000002</v>
      </c>
      <c r="F78" s="5">
        <v>61380.6901</v>
      </c>
      <c r="G78" s="4">
        <v>3313.9544999999998</v>
      </c>
      <c r="H78" s="4">
        <v>58066.735500000003</v>
      </c>
      <c r="I78" s="4">
        <v>97.940600000000003</v>
      </c>
      <c r="J78" s="5">
        <v>94.506699999999995</v>
      </c>
      <c r="K78" s="4">
        <v>0</v>
      </c>
      <c r="L78" s="4">
        <v>94.506699999999995</v>
      </c>
      <c r="M78" s="4">
        <v>82483.245299999995</v>
      </c>
      <c r="N78" s="4">
        <v>19059.215</v>
      </c>
      <c r="O78" s="4">
        <v>0</v>
      </c>
      <c r="P78" s="4">
        <v>63424.030299999999</v>
      </c>
      <c r="Q78" s="4">
        <v>1.6999999999999999E-3</v>
      </c>
      <c r="R78" s="4">
        <v>0</v>
      </c>
      <c r="S78" s="4">
        <v>148646.55799999999</v>
      </c>
      <c r="T78" s="4">
        <v>148104.97839999999</v>
      </c>
      <c r="U78" s="4">
        <v>541.5797</v>
      </c>
      <c r="V78" s="4">
        <v>148646.5594</v>
      </c>
      <c r="W78" s="4">
        <v>66684.891600000003</v>
      </c>
      <c r="X78" s="4">
        <v>1882.7642000000001</v>
      </c>
      <c r="Y78" s="4">
        <v>15798.3537</v>
      </c>
      <c r="Z78" s="4">
        <v>64280.548199999997</v>
      </c>
    </row>
    <row r="79" spans="1:26" x14ac:dyDescent="0.2">
      <c r="A79" s="3">
        <v>44440</v>
      </c>
      <c r="B79" s="4">
        <v>148030.7169</v>
      </c>
      <c r="C79" s="4">
        <v>4182.6089000000002</v>
      </c>
      <c r="D79" s="4">
        <v>2014.1188</v>
      </c>
      <c r="E79" s="4">
        <v>2168.4901</v>
      </c>
      <c r="F79" s="5">
        <v>60056.436199999996</v>
      </c>
      <c r="G79" s="4">
        <v>2335.4879000000001</v>
      </c>
      <c r="H79" s="4">
        <v>57720.948299999996</v>
      </c>
      <c r="I79" s="4">
        <v>-1125.3910000000001</v>
      </c>
      <c r="J79" s="5">
        <v>89.799400000000006</v>
      </c>
      <c r="K79" s="4">
        <v>0</v>
      </c>
      <c r="L79" s="4">
        <v>89.799400000000006</v>
      </c>
      <c r="M79" s="4">
        <v>84827.261599999998</v>
      </c>
      <c r="N79" s="4">
        <v>19231.361199999999</v>
      </c>
      <c r="O79" s="4">
        <v>0</v>
      </c>
      <c r="P79" s="4">
        <v>65595.900399999999</v>
      </c>
      <c r="Q79" s="4">
        <v>1.6999999999999999E-3</v>
      </c>
      <c r="R79" s="4">
        <v>0</v>
      </c>
      <c r="S79" s="4">
        <v>148030.7157</v>
      </c>
      <c r="T79" s="4">
        <v>147426.7708</v>
      </c>
      <c r="U79" s="4">
        <v>603.94489999999996</v>
      </c>
      <c r="V79" s="4">
        <v>148030.7169</v>
      </c>
      <c r="W79" s="4">
        <v>69414.282200000001</v>
      </c>
      <c r="X79" s="4">
        <v>1061.2762</v>
      </c>
      <c r="Y79" s="4">
        <v>15412.9794</v>
      </c>
      <c r="Z79" s="4">
        <v>62142.1774</v>
      </c>
    </row>
    <row r="80" spans="1:26" x14ac:dyDescent="0.2">
      <c r="A80" s="3">
        <v>44531</v>
      </c>
      <c r="B80" s="4">
        <v>153436.8707</v>
      </c>
      <c r="C80" s="4">
        <v>4866.8208000000004</v>
      </c>
      <c r="D80" s="4">
        <v>2562.0918000000001</v>
      </c>
      <c r="E80" s="4">
        <v>2304.7289999999998</v>
      </c>
      <c r="F80" s="5">
        <v>60558.734799999998</v>
      </c>
      <c r="G80" s="4">
        <v>1470.6735000000001</v>
      </c>
      <c r="H80" s="4">
        <v>59088.061300000001</v>
      </c>
      <c r="I80" s="4">
        <v>-1396.8901000000001</v>
      </c>
      <c r="J80" s="5">
        <v>90.1999</v>
      </c>
      <c r="K80" s="4">
        <v>0</v>
      </c>
      <c r="L80" s="4">
        <v>90.1999</v>
      </c>
      <c r="M80" s="4">
        <v>89318.003599999996</v>
      </c>
      <c r="N80" s="4">
        <v>21467.933300000001</v>
      </c>
      <c r="O80" s="4">
        <v>0</v>
      </c>
      <c r="P80" s="4">
        <v>67850.070300000007</v>
      </c>
      <c r="Q80" s="4">
        <v>1.6999999999999999E-3</v>
      </c>
      <c r="R80" s="4">
        <v>0</v>
      </c>
      <c r="S80" s="4">
        <v>153436.8695</v>
      </c>
      <c r="T80" s="4">
        <v>152745.11069999999</v>
      </c>
      <c r="U80" s="4">
        <v>691.75869999999998</v>
      </c>
      <c r="V80" s="4">
        <v>153436.8707</v>
      </c>
      <c r="W80" s="4">
        <v>74657.752399999998</v>
      </c>
      <c r="X80" s="4">
        <v>883.91449999999998</v>
      </c>
      <c r="Y80" s="4">
        <v>14660.251099999999</v>
      </c>
      <c r="Z80" s="4">
        <v>63234.951000000001</v>
      </c>
    </row>
    <row r="81" spans="1:26" x14ac:dyDescent="0.2">
      <c r="A81" s="3">
        <v>44621</v>
      </c>
      <c r="B81" s="4">
        <v>147385.57579999999</v>
      </c>
      <c r="C81" s="4">
        <v>6109.3919999999998</v>
      </c>
      <c r="D81" s="4">
        <v>2231.9346</v>
      </c>
      <c r="E81" s="4">
        <v>3877.4573999999998</v>
      </c>
      <c r="F81" s="5">
        <v>63756.877200000003</v>
      </c>
      <c r="G81" s="4">
        <v>2555.3735000000001</v>
      </c>
      <c r="H81" s="4">
        <v>61201.503700000001</v>
      </c>
      <c r="I81" s="4">
        <v>703.54160000000002</v>
      </c>
      <c r="J81" s="5">
        <v>88.296899999999994</v>
      </c>
      <c r="K81" s="4">
        <v>0</v>
      </c>
      <c r="L81" s="4">
        <v>88.296899999999994</v>
      </c>
      <c r="M81" s="4">
        <v>76727.466400000005</v>
      </c>
      <c r="N81" s="4">
        <v>22805.673900000002</v>
      </c>
      <c r="O81" s="4">
        <v>0</v>
      </c>
      <c r="P81" s="4">
        <v>53921.792600000001</v>
      </c>
      <c r="Q81" s="4">
        <v>1.6999999999999999E-3</v>
      </c>
      <c r="R81" s="4">
        <v>0</v>
      </c>
      <c r="S81" s="4">
        <v>147385.57459999999</v>
      </c>
      <c r="T81" s="4">
        <v>146505.30729999999</v>
      </c>
      <c r="U81" s="4">
        <v>880.26729999999998</v>
      </c>
      <c r="V81" s="4">
        <v>147385.57579999999</v>
      </c>
      <c r="W81" s="4">
        <v>61543.1296</v>
      </c>
      <c r="X81" s="4">
        <v>1825.2699</v>
      </c>
      <c r="Y81" s="4">
        <v>15184.336799999999</v>
      </c>
      <c r="Z81" s="4">
        <v>68832.837799999994</v>
      </c>
    </row>
    <row r="82" spans="1:26" x14ac:dyDescent="0.2">
      <c r="A82" s="3">
        <v>44713</v>
      </c>
      <c r="B82" s="4">
        <v>154722.04370000001</v>
      </c>
      <c r="C82" s="4">
        <v>5936.2281000000003</v>
      </c>
      <c r="D82" s="4">
        <v>2153.2255</v>
      </c>
      <c r="E82" s="4">
        <v>3783.0025999999998</v>
      </c>
      <c r="F82" s="5">
        <v>71083.584199999998</v>
      </c>
      <c r="G82" s="4">
        <v>2165.6671000000001</v>
      </c>
      <c r="H82" s="4">
        <v>68917.917199999996</v>
      </c>
      <c r="I82" s="4">
        <v>-77.753200000000007</v>
      </c>
      <c r="J82" s="5">
        <v>90.983900000000006</v>
      </c>
      <c r="K82" s="4">
        <v>2.5023</v>
      </c>
      <c r="L82" s="4">
        <v>88.4816</v>
      </c>
      <c r="M82" s="4">
        <v>77688.998900000006</v>
      </c>
      <c r="N82" s="4">
        <v>23685.650699999998</v>
      </c>
      <c r="O82" s="4">
        <v>0</v>
      </c>
      <c r="P82" s="4">
        <v>54003.3482</v>
      </c>
      <c r="Q82" s="4">
        <v>1.6999999999999999E-3</v>
      </c>
      <c r="R82" s="4">
        <v>0</v>
      </c>
      <c r="S82" s="4">
        <v>154722.04250000001</v>
      </c>
      <c r="T82" s="4">
        <v>153940.27650000001</v>
      </c>
      <c r="U82" s="4">
        <v>781.76599999999996</v>
      </c>
      <c r="V82" s="4">
        <v>154722.04370000001</v>
      </c>
      <c r="W82" s="4">
        <v>61548.720200000003</v>
      </c>
      <c r="X82" s="4">
        <v>2795.8359</v>
      </c>
      <c r="Y82" s="4">
        <v>16140.278700000001</v>
      </c>
      <c r="Z82" s="4">
        <v>74237.207200000004</v>
      </c>
    </row>
    <row r="83" spans="1:26" x14ac:dyDescent="0.2">
      <c r="A83" s="3">
        <v>44805</v>
      </c>
      <c r="B83" s="4">
        <v>153140.2157</v>
      </c>
      <c r="C83" s="4">
        <v>5725.6279000000004</v>
      </c>
      <c r="D83" s="4">
        <v>2288.7957000000001</v>
      </c>
      <c r="E83" s="4">
        <v>3436.8323</v>
      </c>
      <c r="F83" s="5">
        <v>72199.8223</v>
      </c>
      <c r="G83" s="4">
        <v>1837.3391999999999</v>
      </c>
      <c r="H83" s="4">
        <v>70362.483099999998</v>
      </c>
      <c r="I83" s="4">
        <v>314.81569999999999</v>
      </c>
      <c r="J83" s="5">
        <v>91.178700000000006</v>
      </c>
      <c r="K83" s="4">
        <v>2.4632999999999998</v>
      </c>
      <c r="L83" s="4">
        <v>88.715400000000002</v>
      </c>
      <c r="M83" s="4">
        <v>74808.769400000005</v>
      </c>
      <c r="N83" s="4">
        <v>24853.357</v>
      </c>
      <c r="O83" s="4">
        <v>0</v>
      </c>
      <c r="P83" s="4">
        <v>49955.412400000001</v>
      </c>
      <c r="Q83" s="4">
        <v>1.6999999999999999E-3</v>
      </c>
      <c r="R83" s="4">
        <v>0</v>
      </c>
      <c r="S83" s="4">
        <v>153140.21460000001</v>
      </c>
      <c r="T83" s="4">
        <v>152393.2439</v>
      </c>
      <c r="U83" s="4">
        <v>746.97069999999997</v>
      </c>
      <c r="V83" s="4">
        <v>153140.2157</v>
      </c>
      <c r="W83" s="4">
        <v>57912.252500000002</v>
      </c>
      <c r="X83" s="4">
        <v>4030.2127</v>
      </c>
      <c r="Y83" s="4">
        <v>16896.517</v>
      </c>
      <c r="Z83" s="4">
        <v>74301.231899999999</v>
      </c>
    </row>
    <row r="84" spans="1:26" x14ac:dyDescent="0.2">
      <c r="A84" s="3">
        <v>44896</v>
      </c>
      <c r="B84" s="4">
        <v>161528.06109999999</v>
      </c>
      <c r="C84" s="4">
        <v>4030.3193000000001</v>
      </c>
      <c r="D84" s="4">
        <v>1266.2625</v>
      </c>
      <c r="E84" s="4">
        <v>2764.0567999999998</v>
      </c>
      <c r="F84" s="5">
        <v>82379.887600000002</v>
      </c>
      <c r="G84" s="4">
        <v>2307.306</v>
      </c>
      <c r="H84" s="4">
        <v>80072.581600000005</v>
      </c>
      <c r="I84" s="4">
        <v>2183.9252000000001</v>
      </c>
      <c r="J84" s="5">
        <v>99.987099999999998</v>
      </c>
      <c r="K84" s="4">
        <v>7.4176000000000002</v>
      </c>
      <c r="L84" s="4">
        <v>92.569500000000005</v>
      </c>
      <c r="M84" s="4">
        <v>72833.940300000002</v>
      </c>
      <c r="N84" s="4">
        <v>25285.9771</v>
      </c>
      <c r="O84" s="4">
        <v>0</v>
      </c>
      <c r="P84" s="4">
        <v>47547.963199999998</v>
      </c>
      <c r="Q84" s="4">
        <v>1.6999999999999999E-3</v>
      </c>
      <c r="R84" s="4">
        <v>0</v>
      </c>
      <c r="S84" s="4">
        <v>161528.05989999999</v>
      </c>
      <c r="T84" s="4">
        <v>160846.15520000001</v>
      </c>
      <c r="U84" s="4">
        <v>681.90470000000005</v>
      </c>
      <c r="V84" s="4">
        <v>161528.06109999999</v>
      </c>
      <c r="W84" s="4">
        <v>55988.115299999998</v>
      </c>
      <c r="X84" s="4">
        <v>4616.6653999999999</v>
      </c>
      <c r="Y84" s="4">
        <v>16845.825000000001</v>
      </c>
      <c r="Z84" s="4">
        <v>84077.453699999998</v>
      </c>
    </row>
    <row r="85" spans="1:26" x14ac:dyDescent="0.2">
      <c r="A85" s="3">
        <v>44986</v>
      </c>
      <c r="B85" s="4">
        <v>161294.98730000001</v>
      </c>
      <c r="C85" s="4">
        <v>3555.9719</v>
      </c>
      <c r="D85" s="4">
        <v>1083.2583</v>
      </c>
      <c r="E85" s="4">
        <v>2472.7136</v>
      </c>
      <c r="F85" s="5">
        <v>82819.479699999996</v>
      </c>
      <c r="G85" s="4">
        <v>2099.2710000000002</v>
      </c>
      <c r="H85" s="4">
        <v>80720.208700000003</v>
      </c>
      <c r="I85" s="4">
        <v>2874.9027999999998</v>
      </c>
      <c r="J85" s="5">
        <v>97.596100000000007</v>
      </c>
      <c r="K85" s="4">
        <v>7.7590000000000003</v>
      </c>
      <c r="L85" s="4">
        <v>89.837100000000007</v>
      </c>
      <c r="M85" s="4">
        <v>71947.035099999994</v>
      </c>
      <c r="N85" s="4">
        <v>24822.455699999999</v>
      </c>
      <c r="O85" s="4">
        <v>0</v>
      </c>
      <c r="P85" s="4">
        <v>47124.579400000002</v>
      </c>
      <c r="Q85" s="4">
        <v>1.6999999999999999E-3</v>
      </c>
      <c r="R85" s="4">
        <v>0</v>
      </c>
      <c r="S85" s="4">
        <v>161294.98620000001</v>
      </c>
      <c r="T85" s="4">
        <v>160529.99429999999</v>
      </c>
      <c r="U85" s="4">
        <v>764.99189999999999</v>
      </c>
      <c r="V85" s="4">
        <v>161294.98730000001</v>
      </c>
      <c r="W85" s="4">
        <v>55531.739800000003</v>
      </c>
      <c r="X85" s="4">
        <v>5631.3716000000004</v>
      </c>
      <c r="Y85" s="4">
        <v>16415.295300000002</v>
      </c>
      <c r="Z85" s="4">
        <v>83716.578899999993</v>
      </c>
    </row>
    <row r="86" spans="1:26" x14ac:dyDescent="0.2">
      <c r="A86" s="3">
        <v>45078</v>
      </c>
      <c r="B86" s="4">
        <v>164817.93640000001</v>
      </c>
      <c r="C86" s="4">
        <v>3108.1975000000002</v>
      </c>
      <c r="D86" s="4">
        <v>993.05190000000005</v>
      </c>
      <c r="E86" s="4">
        <v>2115.1455999999998</v>
      </c>
      <c r="F86" s="5">
        <v>86419.446100000001</v>
      </c>
      <c r="G86" s="4">
        <v>1903.6349</v>
      </c>
      <c r="H86" s="4">
        <v>84515.811199999996</v>
      </c>
      <c r="I86" s="4">
        <v>2119.2575999999999</v>
      </c>
      <c r="J86" s="5">
        <v>96.897400000000005</v>
      </c>
      <c r="K86" s="4">
        <v>9.1344999999999992</v>
      </c>
      <c r="L86" s="4">
        <v>87.762900000000002</v>
      </c>
      <c r="M86" s="4">
        <v>73074.136100000003</v>
      </c>
      <c r="N86" s="4">
        <v>26507.725999999999</v>
      </c>
      <c r="O86" s="4">
        <v>0</v>
      </c>
      <c r="P86" s="4">
        <v>46566.410100000001</v>
      </c>
      <c r="Q86" s="4">
        <v>1.6999999999999999E-3</v>
      </c>
      <c r="R86" s="4">
        <v>0</v>
      </c>
      <c r="S86" s="4">
        <v>164817.93530000001</v>
      </c>
      <c r="T86" s="4">
        <v>164071.91020000001</v>
      </c>
      <c r="U86" s="4">
        <v>746.02509999999995</v>
      </c>
      <c r="V86" s="4">
        <v>164817.93640000001</v>
      </c>
      <c r="W86" s="4">
        <v>56128.305999999997</v>
      </c>
      <c r="X86" s="4">
        <v>8297.1139999999996</v>
      </c>
      <c r="Y86" s="4">
        <v>16945.830099999999</v>
      </c>
      <c r="Z86" s="4">
        <v>83446.684599999993</v>
      </c>
    </row>
    <row r="87" spans="1:26" x14ac:dyDescent="0.2">
      <c r="A87" s="3">
        <v>45170</v>
      </c>
      <c r="B87" s="4">
        <v>165621.31649999999</v>
      </c>
      <c r="C87" s="4">
        <v>3808.1644999999999</v>
      </c>
      <c r="D87" s="4">
        <v>1915.0522000000001</v>
      </c>
      <c r="E87" s="4">
        <v>1893.1123</v>
      </c>
      <c r="F87" s="5">
        <v>81725.084300000002</v>
      </c>
      <c r="G87" s="4">
        <v>1937.9408000000001</v>
      </c>
      <c r="H87" s="4">
        <v>79787.143500000006</v>
      </c>
      <c r="I87" s="4">
        <v>64.050299999999993</v>
      </c>
      <c r="J87" s="5">
        <v>101.7299</v>
      </c>
      <c r="K87" s="4">
        <v>10.7279</v>
      </c>
      <c r="L87" s="4">
        <v>91.001900000000006</v>
      </c>
      <c r="M87" s="4">
        <v>79922.285900000003</v>
      </c>
      <c r="N87" s="4">
        <v>30210.158299999999</v>
      </c>
      <c r="O87" s="4">
        <v>0</v>
      </c>
      <c r="P87" s="4">
        <v>49712.1276</v>
      </c>
      <c r="Q87" s="4">
        <v>1.6999999999999999E-3</v>
      </c>
      <c r="R87" s="4">
        <v>0</v>
      </c>
      <c r="S87" s="4">
        <v>165621.31539999999</v>
      </c>
      <c r="T87" s="4">
        <v>164875.10269999999</v>
      </c>
      <c r="U87" s="4">
        <v>746.21259999999995</v>
      </c>
      <c r="V87" s="4">
        <v>165621.31649999999</v>
      </c>
      <c r="W87" s="4">
        <v>61968.332799999996</v>
      </c>
      <c r="X87" s="4">
        <v>8125.8023999999996</v>
      </c>
      <c r="Y87" s="4">
        <v>17953.953099999999</v>
      </c>
      <c r="Z87" s="4">
        <v>77573.226500000004</v>
      </c>
    </row>
    <row r="88" spans="1:26" x14ac:dyDescent="0.2">
      <c r="A88" s="3">
        <v>45261</v>
      </c>
      <c r="B88" s="4">
        <v>178330.56479999999</v>
      </c>
      <c r="C88" s="4">
        <v>3573.9151000000002</v>
      </c>
      <c r="D88" s="4">
        <v>1458.9989</v>
      </c>
      <c r="E88" s="4">
        <v>2114.9162999999999</v>
      </c>
      <c r="F88" s="5">
        <v>87173.637400000007</v>
      </c>
      <c r="G88" s="4">
        <v>1917.3006</v>
      </c>
      <c r="H88" s="4">
        <v>85256.336800000005</v>
      </c>
      <c r="I88" s="4">
        <v>2592.2002000000002</v>
      </c>
      <c r="J88" s="5">
        <v>94.329800000000006</v>
      </c>
      <c r="K88" s="4">
        <v>11.5527</v>
      </c>
      <c r="L88" s="4">
        <v>82.777100000000004</v>
      </c>
      <c r="M88" s="4">
        <v>84896.480599999995</v>
      </c>
      <c r="N88" s="4">
        <v>35022.594799999999</v>
      </c>
      <c r="O88" s="4">
        <v>0</v>
      </c>
      <c r="P88" s="4">
        <v>49873.885799999996</v>
      </c>
      <c r="Q88" s="4">
        <v>1.6999999999999999E-3</v>
      </c>
      <c r="R88" s="4">
        <v>0</v>
      </c>
      <c r="S88" s="4">
        <v>178330.5637</v>
      </c>
      <c r="T88" s="4">
        <v>177542.71489999999</v>
      </c>
      <c r="U88" s="4">
        <v>787.84870000000001</v>
      </c>
      <c r="V88" s="4">
        <v>178330.56479999999</v>
      </c>
      <c r="W88" s="4">
        <v>65642.620599999995</v>
      </c>
      <c r="X88" s="4">
        <v>8940.4099000000006</v>
      </c>
      <c r="Y88" s="4">
        <v>19253.86</v>
      </c>
      <c r="Z88" s="4">
        <v>84493.672600000005</v>
      </c>
    </row>
    <row r="89" spans="1:26" x14ac:dyDescent="0.2">
      <c r="A89" s="3">
        <v>45352</v>
      </c>
      <c r="B89" s="4">
        <v>188747.90410000001</v>
      </c>
      <c r="C89" s="4">
        <v>4183.1566000000003</v>
      </c>
      <c r="D89" s="4">
        <v>1881.9983999999999</v>
      </c>
      <c r="E89" s="4">
        <v>2301.1581000000001</v>
      </c>
      <c r="F89" s="5">
        <v>86482.002399999998</v>
      </c>
      <c r="G89" s="4">
        <v>2124.38</v>
      </c>
      <c r="H89" s="4">
        <v>84357.622399999993</v>
      </c>
      <c r="I89" s="4">
        <v>1112.0814</v>
      </c>
      <c r="J89" s="5">
        <v>96.9422</v>
      </c>
      <c r="K89" s="4">
        <v>12.8299</v>
      </c>
      <c r="L89" s="4">
        <v>84.112399999999994</v>
      </c>
      <c r="M89" s="4">
        <v>96873.719800000006</v>
      </c>
      <c r="N89" s="4">
        <v>41032.800799999997</v>
      </c>
      <c r="O89" s="4">
        <v>0</v>
      </c>
      <c r="P89" s="4">
        <v>55840.919000000002</v>
      </c>
      <c r="Q89" s="4">
        <v>1.6999999999999999E-3</v>
      </c>
      <c r="R89" s="4">
        <v>0</v>
      </c>
      <c r="S89" s="4">
        <v>188747.90299999999</v>
      </c>
      <c r="T89" s="4">
        <v>187955.39480000001</v>
      </c>
      <c r="U89" s="4">
        <v>792.50819999999999</v>
      </c>
      <c r="V89" s="4">
        <v>188747.90410000001</v>
      </c>
      <c r="W89" s="4">
        <v>76677.884900000005</v>
      </c>
      <c r="X89" s="4">
        <v>7821.9633999999996</v>
      </c>
      <c r="Y89" s="4">
        <v>20195.834900000002</v>
      </c>
      <c r="Z89" s="4">
        <v>84052.219200000007</v>
      </c>
    </row>
    <row r="90" spans="1:26" x14ac:dyDescent="0.2">
      <c r="A90" s="3">
        <v>45444</v>
      </c>
      <c r="B90" s="4">
        <v>185730.67629999999</v>
      </c>
      <c r="C90" s="4">
        <v>4780.2754999999997</v>
      </c>
      <c r="D90" s="4">
        <v>2075.8145</v>
      </c>
      <c r="E90" s="4">
        <v>2704.4609999999998</v>
      </c>
      <c r="F90" s="5">
        <v>82706.550600000002</v>
      </c>
      <c r="G90" s="4">
        <v>1464.8043</v>
      </c>
      <c r="H90" s="4">
        <v>81241.746299999999</v>
      </c>
      <c r="I90" s="4">
        <v>1705.576</v>
      </c>
      <c r="J90" s="5">
        <v>15.154500000000001</v>
      </c>
      <c r="K90" s="4">
        <v>3.0146999999999999</v>
      </c>
      <c r="L90" s="4">
        <v>12.139799999999999</v>
      </c>
      <c r="M90" s="4">
        <v>96523.118000000002</v>
      </c>
      <c r="N90" s="4">
        <v>42005.290099999998</v>
      </c>
      <c r="O90" s="4">
        <v>0</v>
      </c>
      <c r="P90" s="4">
        <v>54517.828000000001</v>
      </c>
      <c r="Q90" s="4">
        <v>1.6999999999999999E-3</v>
      </c>
      <c r="R90" s="4">
        <v>0</v>
      </c>
      <c r="S90" s="4">
        <v>185730.6753</v>
      </c>
      <c r="T90" s="4">
        <v>185000.24950000001</v>
      </c>
      <c r="U90" s="4">
        <v>730.42570000000001</v>
      </c>
      <c r="V90" s="4">
        <v>185730.67629999999</v>
      </c>
      <c r="W90" s="4">
        <v>76809.672099999996</v>
      </c>
      <c r="X90" s="4">
        <v>6554.1548000000003</v>
      </c>
      <c r="Y90" s="4">
        <v>19713.445899999999</v>
      </c>
      <c r="Z90" s="4">
        <v>82653.401800000007</v>
      </c>
    </row>
    <row r="91" spans="1:26" x14ac:dyDescent="0.2">
      <c r="A91" s="3">
        <v>45536</v>
      </c>
      <c r="B91" s="4">
        <v>200198.0655</v>
      </c>
      <c r="C91" s="4">
        <v>3972.4331999999999</v>
      </c>
      <c r="D91" s="4">
        <v>1011.5005</v>
      </c>
      <c r="E91" s="4">
        <v>2960.9326000000001</v>
      </c>
      <c r="F91" s="5">
        <v>92137.6054</v>
      </c>
      <c r="G91" s="4">
        <v>1417.0730000000001</v>
      </c>
      <c r="H91" s="4">
        <v>90720.532399999996</v>
      </c>
      <c r="I91" s="4">
        <v>5346.3197</v>
      </c>
      <c r="J91" s="5">
        <v>16.100999999999999</v>
      </c>
      <c r="K91" s="4">
        <v>3.0562</v>
      </c>
      <c r="L91" s="4">
        <v>13.0448</v>
      </c>
      <c r="M91" s="4">
        <v>98725.604600000006</v>
      </c>
      <c r="N91" s="4">
        <v>44035.142899999999</v>
      </c>
      <c r="O91" s="4">
        <v>0</v>
      </c>
      <c r="P91" s="4">
        <v>54690.4617</v>
      </c>
      <c r="Q91" s="4">
        <v>1.6999999999999999E-3</v>
      </c>
      <c r="R91" s="4">
        <v>0</v>
      </c>
      <c r="S91" s="4">
        <v>200198.0644</v>
      </c>
      <c r="T91" s="4">
        <v>199398.71520000001</v>
      </c>
      <c r="U91" s="4">
        <v>799.3492</v>
      </c>
      <c r="V91" s="4">
        <v>200198.0655</v>
      </c>
      <c r="W91" s="4">
        <v>78786.650399999999</v>
      </c>
      <c r="X91" s="4">
        <v>7067.8203999999996</v>
      </c>
      <c r="Y91" s="4">
        <v>19938.9542</v>
      </c>
      <c r="Z91" s="4">
        <v>94404.638900000005</v>
      </c>
    </row>
    <row r="92" spans="1:26" x14ac:dyDescent="0.2">
      <c r="A92" s="3">
        <v>45627</v>
      </c>
      <c r="B92" s="4">
        <v>198038.734</v>
      </c>
      <c r="C92" s="4">
        <v>7592.6324999999997</v>
      </c>
      <c r="D92" s="4">
        <v>4166.0991000000004</v>
      </c>
      <c r="E92" s="4">
        <v>3426.5333999999998</v>
      </c>
      <c r="F92" s="5">
        <v>87422.874500000005</v>
      </c>
      <c r="G92" s="4">
        <v>1022.6405</v>
      </c>
      <c r="H92" s="4">
        <v>86400.233900000007</v>
      </c>
      <c r="I92" s="4">
        <v>-931.33249999999998</v>
      </c>
      <c r="J92" s="5">
        <v>15.751300000000001</v>
      </c>
      <c r="K92" s="4">
        <v>3.1846999999999999</v>
      </c>
      <c r="L92" s="4">
        <v>12.5665</v>
      </c>
      <c r="M92" s="4">
        <v>103938.80650000001</v>
      </c>
      <c r="N92" s="4">
        <v>48203.5766</v>
      </c>
      <c r="O92" s="4">
        <v>0</v>
      </c>
      <c r="P92" s="4">
        <v>55735.229899999998</v>
      </c>
      <c r="Q92" s="4">
        <v>1.6999999999999999E-3</v>
      </c>
      <c r="R92" s="4">
        <v>0</v>
      </c>
      <c r="S92" s="4">
        <v>198038.7328</v>
      </c>
      <c r="T92" s="4">
        <v>197249.08809999999</v>
      </c>
      <c r="U92" s="4">
        <v>789.64480000000003</v>
      </c>
      <c r="V92" s="4">
        <v>198038.734</v>
      </c>
      <c r="W92" s="4">
        <v>85123.204299999998</v>
      </c>
      <c r="X92" s="4">
        <v>2708.8063999999999</v>
      </c>
      <c r="Y92" s="4">
        <v>18815.602200000001</v>
      </c>
      <c r="Z92" s="4">
        <v>91391.119399999996</v>
      </c>
    </row>
    <row r="93" spans="1:26" x14ac:dyDescent="0.2">
      <c r="A93" s="3">
        <v>45717</v>
      </c>
      <c r="B93" s="4">
        <v>202363.62659999999</v>
      </c>
      <c r="C93" s="4">
        <v>5385.3141999999998</v>
      </c>
      <c r="D93" s="4">
        <v>2319.1098000000002</v>
      </c>
      <c r="E93" s="4">
        <v>3066.2044000000001</v>
      </c>
      <c r="F93" s="5">
        <v>88859.011599999998</v>
      </c>
      <c r="G93" s="4">
        <v>1549.6329000000001</v>
      </c>
      <c r="H93" s="4">
        <v>87309.378700000001</v>
      </c>
      <c r="I93" s="4">
        <v>2506.2518</v>
      </c>
      <c r="J93" s="5">
        <v>15.9093</v>
      </c>
      <c r="K93" s="4">
        <v>3.16</v>
      </c>
      <c r="L93" s="4">
        <v>12.7493</v>
      </c>
      <c r="M93" s="4">
        <v>105597.13800000001</v>
      </c>
      <c r="N93" s="4">
        <v>49773.079599999997</v>
      </c>
      <c r="O93" s="4">
        <v>0</v>
      </c>
      <c r="P93" s="4">
        <v>55824.058400000002</v>
      </c>
      <c r="Q93" s="4">
        <v>1.6999999999999999E-3</v>
      </c>
      <c r="R93" s="4">
        <v>0</v>
      </c>
      <c r="S93" s="4">
        <v>202363.6256</v>
      </c>
      <c r="T93" s="4">
        <v>201556.3751</v>
      </c>
      <c r="U93" s="4">
        <v>807.25049999999999</v>
      </c>
      <c r="V93" s="4">
        <v>202363.62659999999</v>
      </c>
      <c r="W93" s="4">
        <v>84718.017900000006</v>
      </c>
      <c r="X93" s="4">
        <v>6841.9282999999996</v>
      </c>
      <c r="Y93" s="4">
        <v>20879.1201</v>
      </c>
      <c r="Z93" s="4">
        <v>89924.558699999994</v>
      </c>
    </row>
    <row r="94" spans="1:26" x14ac:dyDescent="0.2">
      <c r="A94" s="3">
        <v>45809</v>
      </c>
      <c r="B94" s="4">
        <v>212961.6771</v>
      </c>
      <c r="C94" s="4">
        <v>4896.8955999999998</v>
      </c>
      <c r="D94" s="4">
        <v>1780.2965999999999</v>
      </c>
      <c r="E94" s="4">
        <v>3116.5990999999999</v>
      </c>
      <c r="F94" s="5">
        <v>90805.627099999998</v>
      </c>
      <c r="G94" s="4">
        <v>1666.0382</v>
      </c>
      <c r="H94" s="4">
        <v>89139.588900000002</v>
      </c>
      <c r="I94" s="4">
        <v>3425.7912000000001</v>
      </c>
      <c r="J94" s="5">
        <v>16.2835</v>
      </c>
      <c r="K94" s="4">
        <v>3.3874</v>
      </c>
      <c r="L94" s="4">
        <v>12.896100000000001</v>
      </c>
      <c r="M94" s="4">
        <v>113817.07799999999</v>
      </c>
      <c r="N94" s="4">
        <v>54580.3442</v>
      </c>
      <c r="O94" s="4">
        <v>0</v>
      </c>
      <c r="P94" s="4">
        <v>59236.733800000002</v>
      </c>
      <c r="Q94" s="4">
        <v>1.6999999999999999E-3</v>
      </c>
      <c r="R94" s="4">
        <v>0</v>
      </c>
      <c r="S94" s="4">
        <v>212961.67610000001</v>
      </c>
      <c r="T94" s="4">
        <v>212161.5674</v>
      </c>
      <c r="U94" s="4">
        <v>800.1087</v>
      </c>
      <c r="V94" s="4">
        <v>212961.6771</v>
      </c>
      <c r="W94" s="4">
        <v>91222.03</v>
      </c>
      <c r="X94" s="4">
        <v>8587.6949000000004</v>
      </c>
      <c r="Y94" s="4">
        <v>22595.0481</v>
      </c>
      <c r="Z94" s="4">
        <v>90556.902499999997</v>
      </c>
    </row>
    <row r="95" spans="1:26" x14ac:dyDescent="0.2">
      <c r="A95" s="3">
        <v>45901</v>
      </c>
      <c r="B95" s="4">
        <v>227858.63639999999</v>
      </c>
      <c r="C95" s="4">
        <v>4571.0325999999995</v>
      </c>
      <c r="D95" s="4">
        <v>1207.6456000000001</v>
      </c>
      <c r="E95" s="4">
        <v>3363.3870000000002</v>
      </c>
      <c r="F95" s="5">
        <v>91371.253899999996</v>
      </c>
      <c r="G95" s="4">
        <v>1647.0699</v>
      </c>
      <c r="H95" s="4">
        <v>89724.183999999994</v>
      </c>
      <c r="I95" s="4">
        <v>3634.5789</v>
      </c>
      <c r="J95" s="5">
        <v>16.731200000000001</v>
      </c>
      <c r="K95" s="4">
        <v>3.5566</v>
      </c>
      <c r="L95" s="4">
        <v>13.1746</v>
      </c>
      <c r="M95" s="4">
        <v>128265.0382</v>
      </c>
      <c r="N95" s="4">
        <v>61673.934099999999</v>
      </c>
      <c r="O95" s="4">
        <v>0</v>
      </c>
      <c r="P95" s="4">
        <v>66591.104099999997</v>
      </c>
      <c r="Q95" s="4">
        <v>1.6999999999999999E-3</v>
      </c>
      <c r="R95" s="4">
        <v>0</v>
      </c>
      <c r="S95" s="4">
        <v>227858.63529999999</v>
      </c>
      <c r="T95" s="4">
        <v>227112.14540000001</v>
      </c>
      <c r="U95" s="4">
        <v>746.48990000000003</v>
      </c>
      <c r="V95" s="4">
        <v>227858.63639999999</v>
      </c>
      <c r="W95" s="4">
        <v>102864.95819999999</v>
      </c>
      <c r="X95" s="4">
        <v>8921.2479999999996</v>
      </c>
      <c r="Y95" s="4">
        <v>25400.080000000002</v>
      </c>
      <c r="Z95" s="4">
        <v>90672.348599999998</v>
      </c>
    </row>
  </sheetData>
  <mergeCells count="2">
    <mergeCell ref="A1:Z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819C-3E35-8D46-8DB0-A44ABFD27E84}">
  <sheetPr>
    <tabColor rgb="FFC00000"/>
  </sheetPr>
  <dimension ref="A1:AA95"/>
  <sheetViews>
    <sheetView workbookViewId="0">
      <selection sqref="A1:AA1"/>
    </sheetView>
  </sheetViews>
  <sheetFormatPr baseColWidth="10" defaultRowHeight="16" x14ac:dyDescent="0.2"/>
  <sheetData>
    <row r="1" spans="1:27" x14ac:dyDescent="0.2">
      <c r="A1" s="7" t="s">
        <v>78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</row>
    <row r="2" spans="1:27" x14ac:dyDescent="0.2">
      <c r="A2" s="8" t="s">
        <v>161</v>
      </c>
      <c r="B2" s="8"/>
      <c r="C2" t="s">
        <v>162</v>
      </c>
      <c r="D2" s="1">
        <f>B5-I5-M5-P5</f>
        <v>8522.367400000001</v>
      </c>
      <c r="E2" s="1">
        <f>C5+F5+J5+N5+O5</f>
        <v>8522.3675000000003</v>
      </c>
      <c r="F2" t="s">
        <v>163</v>
      </c>
      <c r="G2" s="1">
        <f>R5-V5-X5-AA5</f>
        <v>84.888399999997432</v>
      </c>
      <c r="H2" s="1">
        <f>S5</f>
        <v>84.888400000000004</v>
      </c>
    </row>
    <row r="3" spans="1:27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37</v>
      </c>
      <c r="G3" s="2" t="s">
        <v>8</v>
      </c>
      <c r="H3" s="2" t="s">
        <v>9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</row>
    <row r="4" spans="1:27" x14ac:dyDescent="0.2">
      <c r="A4" s="3">
        <v>37591</v>
      </c>
      <c r="B4" s="4">
        <v>9326.9689999999991</v>
      </c>
      <c r="C4" s="4">
        <v>260.63760000000002</v>
      </c>
      <c r="D4" s="4">
        <v>77.751300000000001</v>
      </c>
      <c r="E4" s="4">
        <v>182.88630000000001</v>
      </c>
      <c r="F4" s="5">
        <v>6550.7290999999996</v>
      </c>
      <c r="G4" s="4">
        <v>6.9633000000000003</v>
      </c>
      <c r="H4" s="4">
        <v>6543.7658000000001</v>
      </c>
      <c r="I4" s="4">
        <v>-107.45699999999999</v>
      </c>
      <c r="J4" s="5">
        <v>1289.0482999999999</v>
      </c>
      <c r="K4" s="4">
        <v>1289.0482999999999</v>
      </c>
      <c r="L4" s="4">
        <v>642.65940000000001</v>
      </c>
      <c r="M4" s="4">
        <v>333.82670000000002</v>
      </c>
      <c r="N4" s="4">
        <v>22.441299999999998</v>
      </c>
      <c r="O4" s="4">
        <v>286.39139999999998</v>
      </c>
      <c r="P4" s="4">
        <v>691.35159999999996</v>
      </c>
      <c r="Q4" s="4">
        <v>-638.93550000000005</v>
      </c>
      <c r="R4" s="4">
        <v>9965.9045000000006</v>
      </c>
      <c r="S4" s="4">
        <v>98.733099999999993</v>
      </c>
      <c r="T4" s="4">
        <v>76.956599999999995</v>
      </c>
      <c r="U4" s="4">
        <v>21.776499999999999</v>
      </c>
      <c r="V4" s="4">
        <v>1184.9390000000001</v>
      </c>
      <c r="W4" s="4">
        <v>1184.9390000000001</v>
      </c>
      <c r="X4" s="4">
        <v>8125.6854999999996</v>
      </c>
      <c r="Y4" s="4">
        <v>7943.4357</v>
      </c>
      <c r="Z4" s="4">
        <v>182.24979999999999</v>
      </c>
      <c r="AA4" s="4">
        <v>556.54700000000003</v>
      </c>
    </row>
    <row r="5" spans="1:27" x14ac:dyDescent="0.2">
      <c r="A5" s="3">
        <v>37681</v>
      </c>
      <c r="B5" s="4">
        <v>9404.0503000000008</v>
      </c>
      <c r="C5" s="4">
        <v>267.37740000000002</v>
      </c>
      <c r="D5" s="4">
        <v>77.507199999999997</v>
      </c>
      <c r="E5" s="4">
        <v>189.87020000000001</v>
      </c>
      <c r="F5" s="5">
        <v>6660.7524999999996</v>
      </c>
      <c r="G5" s="4">
        <v>6.5742000000000003</v>
      </c>
      <c r="H5" s="4">
        <v>6654.1782999999996</v>
      </c>
      <c r="I5" s="4">
        <v>-69.816999999999993</v>
      </c>
      <c r="J5" s="5">
        <v>1312.1027999999999</v>
      </c>
      <c r="K5" s="4">
        <v>1312.1027999999999</v>
      </c>
      <c r="L5" s="4">
        <v>598.03229999999996</v>
      </c>
      <c r="M5" s="4">
        <v>315.89749999999998</v>
      </c>
      <c r="N5" s="4">
        <v>25.411200000000001</v>
      </c>
      <c r="O5" s="4">
        <v>256.72359999999998</v>
      </c>
      <c r="P5" s="4">
        <v>635.60239999999999</v>
      </c>
      <c r="Q5" s="4">
        <v>-657.41250000000002</v>
      </c>
      <c r="R5" s="4">
        <v>10061.462799999999</v>
      </c>
      <c r="S5" s="4">
        <v>84.888400000000004</v>
      </c>
      <c r="T5" s="4">
        <v>63.770899999999997</v>
      </c>
      <c r="U5" s="4">
        <v>21.1175</v>
      </c>
      <c r="V5" s="4">
        <v>1227.7568000000001</v>
      </c>
      <c r="W5" s="4">
        <v>1227.7568000000001</v>
      </c>
      <c r="X5" s="4">
        <v>8262.7954000000009</v>
      </c>
      <c r="Y5" s="4">
        <v>8084.1023999999998</v>
      </c>
      <c r="Z5" s="4">
        <v>178.69300000000001</v>
      </c>
      <c r="AA5" s="4">
        <v>486.0222</v>
      </c>
    </row>
    <row r="6" spans="1:27" x14ac:dyDescent="0.2">
      <c r="A6" s="3">
        <v>37773</v>
      </c>
      <c r="B6" s="4">
        <v>9724.9061000000002</v>
      </c>
      <c r="C6" s="4">
        <v>284.04289999999997</v>
      </c>
      <c r="D6" s="4">
        <v>76.717100000000002</v>
      </c>
      <c r="E6" s="4">
        <v>207.32579999999999</v>
      </c>
      <c r="F6" s="5">
        <v>6836.9857000000002</v>
      </c>
      <c r="G6" s="4">
        <v>6.4737999999999998</v>
      </c>
      <c r="H6" s="4">
        <v>6830.5119000000004</v>
      </c>
      <c r="I6" s="4">
        <v>-64.067400000000006</v>
      </c>
      <c r="J6" s="5">
        <v>1356.0308</v>
      </c>
      <c r="K6" s="4">
        <v>1356.0308</v>
      </c>
      <c r="L6" s="4">
        <v>638.56060000000002</v>
      </c>
      <c r="M6" s="4">
        <v>366.66379999999998</v>
      </c>
      <c r="N6" s="4">
        <v>27.3154</v>
      </c>
      <c r="O6" s="4">
        <v>244.5814</v>
      </c>
      <c r="P6" s="4">
        <v>673.35350000000005</v>
      </c>
      <c r="Q6" s="4">
        <v>-716.19899999999996</v>
      </c>
      <c r="R6" s="4">
        <v>10441.105100000001</v>
      </c>
      <c r="S6" s="4">
        <v>84.756100000000004</v>
      </c>
      <c r="T6" s="4">
        <v>64.054500000000004</v>
      </c>
      <c r="U6" s="4">
        <v>20.701499999999999</v>
      </c>
      <c r="V6" s="4">
        <v>1305.7153000000001</v>
      </c>
      <c r="W6" s="4">
        <v>1305.7153000000001</v>
      </c>
      <c r="X6" s="4">
        <v>8531.8806000000004</v>
      </c>
      <c r="Y6" s="4">
        <v>8342.9151000000002</v>
      </c>
      <c r="Z6" s="4">
        <v>188.96549999999999</v>
      </c>
      <c r="AA6" s="4">
        <v>518.75319999999999</v>
      </c>
    </row>
    <row r="7" spans="1:27" x14ac:dyDescent="0.2">
      <c r="A7" s="3">
        <v>37865</v>
      </c>
      <c r="B7" s="4">
        <v>9925.6671000000006</v>
      </c>
      <c r="C7" s="4">
        <v>281.13350000000003</v>
      </c>
      <c r="D7" s="4">
        <v>85.365799999999993</v>
      </c>
      <c r="E7" s="4">
        <v>195.76769999999999</v>
      </c>
      <c r="F7" s="5">
        <v>6903.9947000000002</v>
      </c>
      <c r="G7" s="4">
        <v>5.7587000000000002</v>
      </c>
      <c r="H7" s="4">
        <v>6898.2359999999999</v>
      </c>
      <c r="I7" s="4">
        <v>-40.0077</v>
      </c>
      <c r="J7" s="5">
        <v>1375.3259</v>
      </c>
      <c r="K7" s="4">
        <v>1375.3259</v>
      </c>
      <c r="L7" s="4">
        <v>699.80089999999996</v>
      </c>
      <c r="M7" s="4">
        <v>376.04149999999998</v>
      </c>
      <c r="N7" s="4">
        <v>33.299300000000002</v>
      </c>
      <c r="O7" s="4">
        <v>290.46010000000001</v>
      </c>
      <c r="P7" s="4">
        <v>705.41989999999998</v>
      </c>
      <c r="Q7" s="4">
        <v>-792.67150000000004</v>
      </c>
      <c r="R7" s="4">
        <v>10718.338599999999</v>
      </c>
      <c r="S7" s="4">
        <v>95.6798</v>
      </c>
      <c r="T7" s="4">
        <v>75.886099999999999</v>
      </c>
      <c r="U7" s="4">
        <v>19.793800000000001</v>
      </c>
      <c r="V7" s="4">
        <v>1366.1871000000001</v>
      </c>
      <c r="W7" s="4">
        <v>1366.1871000000001</v>
      </c>
      <c r="X7" s="4">
        <v>8716.4655000000002</v>
      </c>
      <c r="Y7" s="4">
        <v>8528.5920999999998</v>
      </c>
      <c r="Z7" s="4">
        <v>187.8734</v>
      </c>
      <c r="AA7" s="4">
        <v>540.00609999999995</v>
      </c>
    </row>
    <row r="8" spans="1:27" x14ac:dyDescent="0.2">
      <c r="A8" s="3">
        <v>37956</v>
      </c>
      <c r="B8" s="4">
        <v>10229.0142</v>
      </c>
      <c r="C8" s="4">
        <v>256.51580000000001</v>
      </c>
      <c r="D8" s="4">
        <v>70.726299999999995</v>
      </c>
      <c r="E8" s="4">
        <v>185.7895</v>
      </c>
      <c r="F8" s="5">
        <v>7085.5352000000003</v>
      </c>
      <c r="G8" s="4">
        <v>13.618399999999999</v>
      </c>
      <c r="H8" s="4">
        <v>7071.9169000000002</v>
      </c>
      <c r="I8" s="4">
        <v>-1.7665999999999999</v>
      </c>
      <c r="J8" s="5">
        <v>1392.6378999999999</v>
      </c>
      <c r="K8" s="4">
        <v>1392.6378999999999</v>
      </c>
      <c r="L8" s="4">
        <v>702.51760000000002</v>
      </c>
      <c r="M8" s="4">
        <v>379.03559999999999</v>
      </c>
      <c r="N8" s="4">
        <v>36.146099999999997</v>
      </c>
      <c r="O8" s="4">
        <v>287.33589999999998</v>
      </c>
      <c r="P8" s="4">
        <v>793.57429999999999</v>
      </c>
      <c r="Q8" s="4">
        <v>-796.44259999999997</v>
      </c>
      <c r="R8" s="4">
        <v>11025.456899999999</v>
      </c>
      <c r="S8" s="4">
        <v>92.190899999999999</v>
      </c>
      <c r="T8" s="4">
        <v>73.072100000000006</v>
      </c>
      <c r="U8" s="4">
        <v>19.1188</v>
      </c>
      <c r="V8" s="4">
        <v>1430.1812</v>
      </c>
      <c r="W8" s="4">
        <v>1430.1812</v>
      </c>
      <c r="X8" s="4">
        <v>8886.3305</v>
      </c>
      <c r="Y8" s="4">
        <v>8692.4883000000009</v>
      </c>
      <c r="Z8" s="4">
        <v>193.84219999999999</v>
      </c>
      <c r="AA8" s="4">
        <v>616.75440000000003</v>
      </c>
    </row>
    <row r="9" spans="1:27" x14ac:dyDescent="0.2">
      <c r="A9" s="3">
        <v>38047</v>
      </c>
      <c r="B9" s="4">
        <v>10671.4709</v>
      </c>
      <c r="C9" s="4">
        <v>239.3646</v>
      </c>
      <c r="D9" s="4">
        <v>70.018799999999999</v>
      </c>
      <c r="E9" s="4">
        <v>169.3458</v>
      </c>
      <c r="F9" s="5">
        <v>7450.4470000000001</v>
      </c>
      <c r="G9" s="4">
        <v>20.993400000000001</v>
      </c>
      <c r="H9" s="4">
        <v>7429.4535999999998</v>
      </c>
      <c r="I9" s="4">
        <v>9.3897999999999993</v>
      </c>
      <c r="J9" s="5">
        <v>1457.1049</v>
      </c>
      <c r="K9" s="4">
        <v>1457.1049</v>
      </c>
      <c r="L9" s="4">
        <v>804.19560000000001</v>
      </c>
      <c r="M9" s="4">
        <v>359.45429999999999</v>
      </c>
      <c r="N9" s="4">
        <v>49.871499999999997</v>
      </c>
      <c r="O9" s="4">
        <v>394.86970000000002</v>
      </c>
      <c r="P9" s="4">
        <v>710.96900000000005</v>
      </c>
      <c r="Q9" s="4">
        <v>-504.5521</v>
      </c>
      <c r="R9" s="4">
        <v>11176.0231</v>
      </c>
      <c r="S9" s="4">
        <v>84.470699999999994</v>
      </c>
      <c r="T9" s="4">
        <v>65.262200000000007</v>
      </c>
      <c r="U9" s="4">
        <v>19.208500000000001</v>
      </c>
      <c r="V9" s="4">
        <v>1471.1999000000001</v>
      </c>
      <c r="W9" s="4">
        <v>1471.1999000000001</v>
      </c>
      <c r="X9" s="4">
        <v>9039.8619999999992</v>
      </c>
      <c r="Y9" s="4">
        <v>8838.7813000000006</v>
      </c>
      <c r="Z9" s="4">
        <v>201.08070000000001</v>
      </c>
      <c r="AA9" s="4">
        <v>580.49040000000002</v>
      </c>
    </row>
    <row r="10" spans="1:27" x14ac:dyDescent="0.2">
      <c r="A10" s="3">
        <v>38139</v>
      </c>
      <c r="B10" s="4">
        <v>11004.8387</v>
      </c>
      <c r="C10" s="4">
        <v>258.16669999999999</v>
      </c>
      <c r="D10" s="4">
        <v>63.158099999999997</v>
      </c>
      <c r="E10" s="4">
        <v>195.0086</v>
      </c>
      <c r="F10" s="5">
        <v>7697.1742999999997</v>
      </c>
      <c r="G10" s="4">
        <v>23.700800000000001</v>
      </c>
      <c r="H10" s="4">
        <v>7673.4735000000001</v>
      </c>
      <c r="I10" s="4">
        <v>11.6012</v>
      </c>
      <c r="J10" s="5">
        <v>1456.5328</v>
      </c>
      <c r="K10" s="4">
        <v>1456.5328</v>
      </c>
      <c r="L10" s="4">
        <v>768.21680000000003</v>
      </c>
      <c r="M10" s="4">
        <v>355.02460000000002</v>
      </c>
      <c r="N10" s="4">
        <v>53.907899999999998</v>
      </c>
      <c r="O10" s="4">
        <v>359.28440000000001</v>
      </c>
      <c r="P10" s="4">
        <v>813.14689999999996</v>
      </c>
      <c r="Q10" s="4">
        <v>-552.70460000000003</v>
      </c>
      <c r="R10" s="4">
        <v>11557.543299999999</v>
      </c>
      <c r="S10" s="4">
        <v>90.4833</v>
      </c>
      <c r="T10" s="4">
        <v>71.178299999999993</v>
      </c>
      <c r="U10" s="4">
        <v>19.305099999999999</v>
      </c>
      <c r="V10" s="4">
        <v>1490.1117999999999</v>
      </c>
      <c r="W10" s="4">
        <v>1490.1117999999999</v>
      </c>
      <c r="X10" s="4">
        <v>9316.9156999999996</v>
      </c>
      <c r="Y10" s="4">
        <v>9099.6309000000001</v>
      </c>
      <c r="Z10" s="4">
        <v>217.28489999999999</v>
      </c>
      <c r="AA10" s="4">
        <v>660.03240000000005</v>
      </c>
    </row>
    <row r="11" spans="1:27" x14ac:dyDescent="0.2">
      <c r="A11" s="3">
        <v>38231</v>
      </c>
      <c r="B11" s="4">
        <v>11581.7713</v>
      </c>
      <c r="C11" s="4">
        <v>304.5258</v>
      </c>
      <c r="D11" s="4">
        <v>77.520600000000002</v>
      </c>
      <c r="E11" s="4">
        <v>227.0052</v>
      </c>
      <c r="F11" s="5">
        <v>8117.4942000000001</v>
      </c>
      <c r="G11" s="4">
        <v>40.108800000000002</v>
      </c>
      <c r="H11" s="4">
        <v>8077.3854000000001</v>
      </c>
      <c r="I11" s="4">
        <v>24.0989</v>
      </c>
      <c r="J11" s="5">
        <v>1472.7692</v>
      </c>
      <c r="K11" s="4">
        <v>1472.7692</v>
      </c>
      <c r="L11" s="4">
        <v>872.66430000000003</v>
      </c>
      <c r="M11" s="4">
        <v>406.5059</v>
      </c>
      <c r="N11" s="4">
        <v>64.549099999999996</v>
      </c>
      <c r="O11" s="4">
        <v>401.60930000000002</v>
      </c>
      <c r="P11" s="4">
        <v>790.21889999999996</v>
      </c>
      <c r="Q11" s="4">
        <v>-345.13819999999998</v>
      </c>
      <c r="R11" s="4">
        <v>11926.9095</v>
      </c>
      <c r="S11" s="4">
        <v>86.444400000000002</v>
      </c>
      <c r="T11" s="4">
        <v>68.191400000000002</v>
      </c>
      <c r="U11" s="4">
        <v>18.253</v>
      </c>
      <c r="V11" s="4">
        <v>1565.3136999999999</v>
      </c>
      <c r="W11" s="4">
        <v>1565.3136999999999</v>
      </c>
      <c r="X11" s="4">
        <v>9672.3281000000006</v>
      </c>
      <c r="Y11" s="4">
        <v>9445.8423999999995</v>
      </c>
      <c r="Z11" s="4">
        <v>226.48570000000001</v>
      </c>
      <c r="AA11" s="4">
        <v>602.82339999999999</v>
      </c>
    </row>
    <row r="12" spans="1:27" x14ac:dyDescent="0.2">
      <c r="A12" s="3">
        <v>38322</v>
      </c>
      <c r="B12" s="4">
        <v>11956.1484</v>
      </c>
      <c r="C12" s="4">
        <v>362.11930000000001</v>
      </c>
      <c r="D12" s="4">
        <v>66.850300000000004</v>
      </c>
      <c r="E12" s="4">
        <v>295.26889999999997</v>
      </c>
      <c r="F12" s="5">
        <v>8337.6612000000005</v>
      </c>
      <c r="G12" s="4">
        <v>33.576300000000003</v>
      </c>
      <c r="H12" s="4">
        <v>8304.0848000000005</v>
      </c>
      <c r="I12" s="4">
        <v>20.174900000000001</v>
      </c>
      <c r="J12" s="5">
        <v>1509.3000999999999</v>
      </c>
      <c r="K12" s="4">
        <v>1509.3000999999999</v>
      </c>
      <c r="L12" s="4">
        <v>850.33109999999999</v>
      </c>
      <c r="M12" s="4">
        <v>448.67439999999999</v>
      </c>
      <c r="N12" s="4">
        <v>58.08</v>
      </c>
      <c r="O12" s="4">
        <v>343.57670000000002</v>
      </c>
      <c r="P12" s="4">
        <v>876.56190000000004</v>
      </c>
      <c r="Q12" s="4">
        <v>-311.19580000000002</v>
      </c>
      <c r="R12" s="4">
        <v>12267.3442</v>
      </c>
      <c r="S12" s="4">
        <v>115.0613</v>
      </c>
      <c r="T12" s="4">
        <v>98.611699999999999</v>
      </c>
      <c r="U12" s="4">
        <v>16.4496</v>
      </c>
      <c r="V12" s="4">
        <v>1583.6194</v>
      </c>
      <c r="W12" s="4">
        <v>1583.6194</v>
      </c>
      <c r="X12" s="4">
        <v>9894.4331999999995</v>
      </c>
      <c r="Y12" s="4">
        <v>9661.9901000000009</v>
      </c>
      <c r="Z12" s="4">
        <v>232.44309999999999</v>
      </c>
      <c r="AA12" s="4">
        <v>674.23019999999997</v>
      </c>
    </row>
    <row r="13" spans="1:27" x14ac:dyDescent="0.2">
      <c r="A13" s="3">
        <v>38412</v>
      </c>
      <c r="B13" s="4">
        <v>12249.648999999999</v>
      </c>
      <c r="C13" s="4">
        <v>475.3612</v>
      </c>
      <c r="D13" s="4">
        <v>78.937100000000001</v>
      </c>
      <c r="E13" s="4">
        <v>396.42410000000001</v>
      </c>
      <c r="F13" s="5">
        <v>8494.7841000000008</v>
      </c>
      <c r="G13" s="4">
        <v>38.582599999999999</v>
      </c>
      <c r="H13" s="4">
        <v>8456.2014999999992</v>
      </c>
      <c r="I13" s="4">
        <v>26.2043</v>
      </c>
      <c r="J13" s="5">
        <v>1523.5993000000001</v>
      </c>
      <c r="K13" s="4">
        <v>1523.5993000000001</v>
      </c>
      <c r="L13" s="4">
        <v>1013.9509</v>
      </c>
      <c r="M13" s="4">
        <v>533.80730000000005</v>
      </c>
      <c r="N13" s="4">
        <v>61.200299999999999</v>
      </c>
      <c r="O13" s="4">
        <v>418.94319999999999</v>
      </c>
      <c r="P13" s="4">
        <v>715.7491</v>
      </c>
      <c r="Q13" s="4">
        <v>-91.398600000000002</v>
      </c>
      <c r="R13" s="4">
        <v>12341.047699999999</v>
      </c>
      <c r="S13" s="4">
        <v>115.2101</v>
      </c>
      <c r="T13" s="4">
        <v>99.909199999999998</v>
      </c>
      <c r="U13" s="4">
        <v>15.301</v>
      </c>
      <c r="V13" s="4">
        <v>1628.1973</v>
      </c>
      <c r="W13" s="4">
        <v>1628.1973</v>
      </c>
      <c r="X13" s="4">
        <v>10053.873</v>
      </c>
      <c r="Y13" s="4">
        <v>9816.5661999999993</v>
      </c>
      <c r="Z13" s="4">
        <v>237.30680000000001</v>
      </c>
      <c r="AA13" s="4">
        <v>543.7672</v>
      </c>
    </row>
    <row r="14" spans="1:27" x14ac:dyDescent="0.2">
      <c r="A14" s="3">
        <v>38504</v>
      </c>
      <c r="B14" s="4">
        <v>13008.498100000001</v>
      </c>
      <c r="C14" s="4">
        <v>437.63150000000002</v>
      </c>
      <c r="D14" s="4">
        <v>74.433700000000002</v>
      </c>
      <c r="E14" s="4">
        <v>363.19779999999997</v>
      </c>
      <c r="F14" s="5">
        <v>9070.6704000000009</v>
      </c>
      <c r="G14" s="4">
        <v>38.301400000000001</v>
      </c>
      <c r="H14" s="4">
        <v>9032.3688999999995</v>
      </c>
      <c r="I14" s="4">
        <v>30.216899999999999</v>
      </c>
      <c r="J14" s="5">
        <v>1580.9972</v>
      </c>
      <c r="K14" s="4">
        <v>1580.9972</v>
      </c>
      <c r="L14" s="4">
        <v>1024.4160999999999</v>
      </c>
      <c r="M14" s="4">
        <v>553.04819999999995</v>
      </c>
      <c r="N14" s="4">
        <v>61.439700000000002</v>
      </c>
      <c r="O14" s="4">
        <v>409.92829999999998</v>
      </c>
      <c r="P14" s="4">
        <v>864.56610000000001</v>
      </c>
      <c r="Q14" s="4">
        <v>175.90520000000001</v>
      </c>
      <c r="R14" s="4">
        <v>12832.5929</v>
      </c>
      <c r="S14" s="4">
        <v>110.6493</v>
      </c>
      <c r="T14" s="4">
        <v>96.486699999999999</v>
      </c>
      <c r="U14" s="4">
        <v>14.162599999999999</v>
      </c>
      <c r="V14" s="4">
        <v>1729.9641999999999</v>
      </c>
      <c r="W14" s="4">
        <v>1729.9641999999999</v>
      </c>
      <c r="X14" s="4">
        <v>10389.962</v>
      </c>
      <c r="Y14" s="4">
        <v>10133.475</v>
      </c>
      <c r="Z14" s="4">
        <v>256.48700000000002</v>
      </c>
      <c r="AA14" s="4">
        <v>602.01729999999998</v>
      </c>
    </row>
    <row r="15" spans="1:27" x14ac:dyDescent="0.2">
      <c r="A15" s="3">
        <v>38596</v>
      </c>
      <c r="B15" s="4">
        <v>13351.0391</v>
      </c>
      <c r="C15" s="4">
        <v>468.51179999999999</v>
      </c>
      <c r="D15" s="4">
        <v>64.705200000000005</v>
      </c>
      <c r="E15" s="4">
        <v>403.8066</v>
      </c>
      <c r="F15" s="5">
        <v>9279.6327000000001</v>
      </c>
      <c r="G15" s="4">
        <v>42.179400000000001</v>
      </c>
      <c r="H15" s="4">
        <v>9237.4532999999992</v>
      </c>
      <c r="I15" s="4">
        <v>37.701099999999997</v>
      </c>
      <c r="J15" s="5">
        <v>1641.4152999999999</v>
      </c>
      <c r="K15" s="4">
        <v>1641.4152999999999</v>
      </c>
      <c r="L15" s="4">
        <v>994.8066</v>
      </c>
      <c r="M15" s="4">
        <v>552.16330000000005</v>
      </c>
      <c r="N15" s="4">
        <v>62.521900000000002</v>
      </c>
      <c r="O15" s="4">
        <v>380.12139999999999</v>
      </c>
      <c r="P15" s="4">
        <v>928.97149999999999</v>
      </c>
      <c r="Q15" s="4">
        <v>150.1131</v>
      </c>
      <c r="R15" s="4">
        <v>13200.925999999999</v>
      </c>
      <c r="S15" s="4">
        <v>123.7784</v>
      </c>
      <c r="T15" s="4">
        <v>110.7568</v>
      </c>
      <c r="U15" s="4">
        <v>13.021599999999999</v>
      </c>
      <c r="V15" s="4">
        <v>1724.1383000000001</v>
      </c>
      <c r="W15" s="4">
        <v>1724.1383000000001</v>
      </c>
      <c r="X15" s="4">
        <v>10684.2096</v>
      </c>
      <c r="Y15" s="4">
        <v>10409.0111</v>
      </c>
      <c r="Z15" s="4">
        <v>275.19850000000002</v>
      </c>
      <c r="AA15" s="4">
        <v>668.7998</v>
      </c>
    </row>
    <row r="16" spans="1:27" x14ac:dyDescent="0.2">
      <c r="A16" s="3">
        <v>38687</v>
      </c>
      <c r="B16" s="4">
        <v>13234.1216</v>
      </c>
      <c r="C16" s="4">
        <v>500.65120000000002</v>
      </c>
      <c r="D16" s="4">
        <v>71.433599999999998</v>
      </c>
      <c r="E16" s="4">
        <v>429.2176</v>
      </c>
      <c r="F16" s="5">
        <v>8955.51</v>
      </c>
      <c r="G16" s="4">
        <v>49.673499999999997</v>
      </c>
      <c r="H16" s="4">
        <v>8905.8364999999994</v>
      </c>
      <c r="I16" s="4">
        <v>36.259500000000003</v>
      </c>
      <c r="J16" s="5">
        <v>1763.9380000000001</v>
      </c>
      <c r="K16" s="4">
        <v>1763.9380000000001</v>
      </c>
      <c r="L16" s="4">
        <v>971.57979999999998</v>
      </c>
      <c r="M16" s="4">
        <v>519.03620000000001</v>
      </c>
      <c r="N16" s="4">
        <v>69.785600000000002</v>
      </c>
      <c r="O16" s="4">
        <v>382.75799999999998</v>
      </c>
      <c r="P16" s="4">
        <v>1006.183</v>
      </c>
      <c r="Q16" s="4">
        <v>-313.3913</v>
      </c>
      <c r="R16" s="4">
        <v>13547.5129</v>
      </c>
      <c r="S16" s="4">
        <v>125.687</v>
      </c>
      <c r="T16" s="4">
        <v>113.8044</v>
      </c>
      <c r="U16" s="4">
        <v>11.8826</v>
      </c>
      <c r="V16" s="4">
        <v>1681.7555</v>
      </c>
      <c r="W16" s="4">
        <v>1681.7555</v>
      </c>
      <c r="X16" s="4">
        <v>10980.6351</v>
      </c>
      <c r="Y16" s="4">
        <v>10690.976199999999</v>
      </c>
      <c r="Z16" s="4">
        <v>289.65890000000002</v>
      </c>
      <c r="AA16" s="4">
        <v>759.43529999999998</v>
      </c>
    </row>
    <row r="17" spans="1:27" x14ac:dyDescent="0.2">
      <c r="A17" s="3">
        <v>38777</v>
      </c>
      <c r="B17" s="4">
        <v>13486.561100000001</v>
      </c>
      <c r="C17" s="4">
        <v>521.48320000000001</v>
      </c>
      <c r="D17" s="4">
        <v>90.84</v>
      </c>
      <c r="E17" s="4">
        <v>430.64319999999998</v>
      </c>
      <c r="F17" s="5">
        <v>9027.5082999999995</v>
      </c>
      <c r="G17" s="4">
        <v>50.062800000000003</v>
      </c>
      <c r="H17" s="4">
        <v>8977.4454999999998</v>
      </c>
      <c r="I17" s="4">
        <v>77.261899999999997</v>
      </c>
      <c r="J17" s="5">
        <v>1827.3644999999999</v>
      </c>
      <c r="K17" s="4">
        <v>1827.3644999999999</v>
      </c>
      <c r="L17" s="4">
        <v>1078.6367</v>
      </c>
      <c r="M17" s="4">
        <v>527.85029999999995</v>
      </c>
      <c r="N17" s="4">
        <v>79.486900000000006</v>
      </c>
      <c r="O17" s="4">
        <v>471.29950000000002</v>
      </c>
      <c r="P17" s="4">
        <v>954.3066</v>
      </c>
      <c r="Q17" s="4">
        <v>-205.5506</v>
      </c>
      <c r="R17" s="4">
        <v>13692.111800000001</v>
      </c>
      <c r="S17" s="4">
        <v>111.8492</v>
      </c>
      <c r="T17" s="4">
        <v>100.6422</v>
      </c>
      <c r="U17" s="4">
        <v>11.207000000000001</v>
      </c>
      <c r="V17" s="4">
        <v>1757.4681</v>
      </c>
      <c r="W17" s="4">
        <v>1757.4681</v>
      </c>
      <c r="X17" s="4">
        <v>11120.0743</v>
      </c>
      <c r="Y17" s="4">
        <v>10832.5057</v>
      </c>
      <c r="Z17" s="4">
        <v>287.5686</v>
      </c>
      <c r="AA17" s="4">
        <v>702.72019999999998</v>
      </c>
    </row>
    <row r="18" spans="1:27" x14ac:dyDescent="0.2">
      <c r="A18" s="3">
        <v>38869</v>
      </c>
      <c r="B18" s="4">
        <v>13627.2554</v>
      </c>
      <c r="C18" s="4">
        <v>452.69479999999999</v>
      </c>
      <c r="D18" s="4">
        <v>73.272300000000001</v>
      </c>
      <c r="E18" s="4">
        <v>379.42250000000001</v>
      </c>
      <c r="F18" s="5">
        <v>9125.5889000000006</v>
      </c>
      <c r="G18" s="4">
        <v>74.691500000000005</v>
      </c>
      <c r="H18" s="4">
        <v>9050.8974999999991</v>
      </c>
      <c r="I18" s="4">
        <v>52.838000000000001</v>
      </c>
      <c r="J18" s="5">
        <v>1947.0355</v>
      </c>
      <c r="K18" s="4">
        <v>1947.0355</v>
      </c>
      <c r="L18" s="4">
        <v>1109.4920999999999</v>
      </c>
      <c r="M18" s="4">
        <v>523.15269999999998</v>
      </c>
      <c r="N18" s="4">
        <v>80.273799999999994</v>
      </c>
      <c r="O18" s="4">
        <v>506.06569999999999</v>
      </c>
      <c r="P18" s="4">
        <v>939.60599999999999</v>
      </c>
      <c r="Q18" s="4">
        <v>-358.62950000000001</v>
      </c>
      <c r="R18" s="4">
        <v>13985.884899999999</v>
      </c>
      <c r="S18" s="4">
        <v>113.0749</v>
      </c>
      <c r="T18" s="4">
        <v>102.5385</v>
      </c>
      <c r="U18" s="4">
        <v>10.5365</v>
      </c>
      <c r="V18" s="4">
        <v>1743.1849</v>
      </c>
      <c r="W18" s="4">
        <v>1743.1849</v>
      </c>
      <c r="X18" s="4">
        <v>11426.416999999999</v>
      </c>
      <c r="Y18" s="4">
        <v>11117.8238</v>
      </c>
      <c r="Z18" s="4">
        <v>308.59309999999999</v>
      </c>
      <c r="AA18" s="4">
        <v>703.20809999999994</v>
      </c>
    </row>
    <row r="19" spans="1:27" x14ac:dyDescent="0.2">
      <c r="A19" s="3">
        <v>38961</v>
      </c>
      <c r="B19" s="4">
        <v>14316.097</v>
      </c>
      <c r="C19" s="4">
        <v>528.65520000000004</v>
      </c>
      <c r="D19" s="4">
        <v>77.112200000000001</v>
      </c>
      <c r="E19" s="4">
        <v>451.54300000000001</v>
      </c>
      <c r="F19" s="5">
        <v>9460.9446000000007</v>
      </c>
      <c r="G19" s="4">
        <v>79.327100000000002</v>
      </c>
      <c r="H19" s="4">
        <v>9381.6175000000003</v>
      </c>
      <c r="I19" s="4">
        <v>58.461399999999998</v>
      </c>
      <c r="J19" s="5">
        <v>2055.7521000000002</v>
      </c>
      <c r="K19" s="4">
        <v>2055.7521000000002</v>
      </c>
      <c r="L19" s="4">
        <v>1183.4232999999999</v>
      </c>
      <c r="M19" s="4">
        <v>558.34939999999995</v>
      </c>
      <c r="N19" s="4">
        <v>79.893900000000002</v>
      </c>
      <c r="O19" s="4">
        <v>545.17999999999995</v>
      </c>
      <c r="P19" s="4">
        <v>1028.8605</v>
      </c>
      <c r="Q19" s="4">
        <v>-128.3741</v>
      </c>
      <c r="R19" s="4">
        <v>14444.4712</v>
      </c>
      <c r="S19" s="4">
        <v>131.25360000000001</v>
      </c>
      <c r="T19" s="4">
        <v>126.2</v>
      </c>
      <c r="U19" s="4">
        <v>5.0536000000000003</v>
      </c>
      <c r="V19" s="4">
        <v>1844.9942000000001</v>
      </c>
      <c r="W19" s="4">
        <v>1844.9942000000001</v>
      </c>
      <c r="X19" s="4">
        <v>11710.787</v>
      </c>
      <c r="Y19" s="4">
        <v>11388.0363</v>
      </c>
      <c r="Z19" s="4">
        <v>322.75080000000003</v>
      </c>
      <c r="AA19" s="4">
        <v>757.43640000000005</v>
      </c>
    </row>
    <row r="20" spans="1:27" x14ac:dyDescent="0.2">
      <c r="A20" s="3">
        <v>39052</v>
      </c>
      <c r="B20" s="4">
        <v>14718.890100000001</v>
      </c>
      <c r="C20" s="4">
        <v>641.78269999999998</v>
      </c>
      <c r="D20" s="4">
        <v>95.020399999999995</v>
      </c>
      <c r="E20" s="4">
        <v>546.76229999999998</v>
      </c>
      <c r="F20" s="5">
        <v>9610.1129000000001</v>
      </c>
      <c r="G20" s="4">
        <v>91.861800000000002</v>
      </c>
      <c r="H20" s="4">
        <v>9518.2510999999995</v>
      </c>
      <c r="I20" s="4">
        <v>83.4161</v>
      </c>
      <c r="J20" s="5">
        <v>2116.7217999999998</v>
      </c>
      <c r="K20" s="4">
        <v>2116.7217999999998</v>
      </c>
      <c r="L20" s="4">
        <v>1293.0724</v>
      </c>
      <c r="M20" s="4">
        <v>648.31889999999999</v>
      </c>
      <c r="N20" s="4">
        <v>80.236500000000007</v>
      </c>
      <c r="O20" s="4">
        <v>564.51700000000005</v>
      </c>
      <c r="P20" s="4">
        <v>973.78409999999997</v>
      </c>
      <c r="Q20" s="4">
        <v>64.851699999999994</v>
      </c>
      <c r="R20" s="4">
        <v>14654.038399999999</v>
      </c>
      <c r="S20" s="4">
        <v>130.07990000000001</v>
      </c>
      <c r="T20" s="4">
        <v>125.52849999999999</v>
      </c>
      <c r="U20" s="4">
        <v>4.5514000000000001</v>
      </c>
      <c r="V20" s="4">
        <v>1921.4093</v>
      </c>
      <c r="W20" s="4">
        <v>1921.4093</v>
      </c>
      <c r="X20" s="4">
        <v>11813.3819</v>
      </c>
      <c r="Y20" s="4">
        <v>11484.8233</v>
      </c>
      <c r="Z20" s="4">
        <v>328.55860000000001</v>
      </c>
      <c r="AA20" s="4">
        <v>789.16729999999995</v>
      </c>
    </row>
    <row r="21" spans="1:27" x14ac:dyDescent="0.2">
      <c r="A21" s="3">
        <v>39142</v>
      </c>
      <c r="B21" s="4">
        <v>14898.816800000001</v>
      </c>
      <c r="C21" s="4">
        <v>707.74609999999996</v>
      </c>
      <c r="D21" s="4">
        <v>113.09699999999999</v>
      </c>
      <c r="E21" s="4">
        <v>594.64909999999998</v>
      </c>
      <c r="F21" s="5">
        <v>9681.1923000000006</v>
      </c>
      <c r="G21" s="4">
        <v>83.925799999999995</v>
      </c>
      <c r="H21" s="4">
        <v>9597.2664999999997</v>
      </c>
      <c r="I21" s="4">
        <v>79.844999999999999</v>
      </c>
      <c r="J21" s="5">
        <v>2165.1415999999999</v>
      </c>
      <c r="K21" s="4">
        <v>2165.1415999999999</v>
      </c>
      <c r="L21" s="4">
        <v>1344.3812</v>
      </c>
      <c r="M21" s="4">
        <v>659.16039999999998</v>
      </c>
      <c r="N21" s="4">
        <v>73.113900000000001</v>
      </c>
      <c r="O21" s="4">
        <v>612.1069</v>
      </c>
      <c r="P21" s="4">
        <v>920.51059999999995</v>
      </c>
      <c r="Q21" s="4">
        <v>40.2684</v>
      </c>
      <c r="R21" s="4">
        <v>14858.5484</v>
      </c>
      <c r="S21" s="4">
        <v>119.9721</v>
      </c>
      <c r="T21" s="4">
        <v>115.3729</v>
      </c>
      <c r="U21" s="4">
        <v>4.5991999999999997</v>
      </c>
      <c r="V21" s="4">
        <v>2045.8751</v>
      </c>
      <c r="W21" s="4">
        <v>2045.8751</v>
      </c>
      <c r="X21" s="4">
        <v>11965.4818</v>
      </c>
      <c r="Y21" s="4">
        <v>11627.674800000001</v>
      </c>
      <c r="Z21" s="4">
        <v>337.80700000000002</v>
      </c>
      <c r="AA21" s="4">
        <v>727.21939999999995</v>
      </c>
    </row>
    <row r="22" spans="1:27" x14ac:dyDescent="0.2">
      <c r="A22" s="3">
        <v>39234</v>
      </c>
      <c r="B22" s="4">
        <v>15079.2253</v>
      </c>
      <c r="C22" s="4">
        <v>658.12109999999996</v>
      </c>
      <c r="D22" s="4">
        <v>97.526399999999995</v>
      </c>
      <c r="E22" s="4">
        <v>560.59469999999999</v>
      </c>
      <c r="F22" s="5">
        <v>9579.5460000000003</v>
      </c>
      <c r="G22" s="4">
        <v>54.279000000000003</v>
      </c>
      <c r="H22" s="4">
        <v>9525.2669999999998</v>
      </c>
      <c r="I22" s="4">
        <v>96.654200000000003</v>
      </c>
      <c r="J22" s="5">
        <v>2258.6563000000001</v>
      </c>
      <c r="K22" s="4">
        <v>2258.6563000000001</v>
      </c>
      <c r="L22" s="4">
        <v>1447.8186000000001</v>
      </c>
      <c r="M22" s="4">
        <v>679.00409999999999</v>
      </c>
      <c r="N22" s="4">
        <v>72.4739</v>
      </c>
      <c r="O22" s="4">
        <v>696.34059999999999</v>
      </c>
      <c r="P22" s="4">
        <v>1038.4291000000001</v>
      </c>
      <c r="Q22" s="4">
        <v>-338.54469999999998</v>
      </c>
      <c r="R22" s="4">
        <v>15417.77</v>
      </c>
      <c r="S22" s="4">
        <v>137.3553</v>
      </c>
      <c r="T22" s="4">
        <v>132.70660000000001</v>
      </c>
      <c r="U22" s="4">
        <v>4.6486999999999998</v>
      </c>
      <c r="V22" s="4">
        <v>2102.7372</v>
      </c>
      <c r="W22" s="4">
        <v>2102.7372</v>
      </c>
      <c r="X22" s="4">
        <v>12351.3261</v>
      </c>
      <c r="Y22" s="4">
        <v>11980.045899999999</v>
      </c>
      <c r="Z22" s="4">
        <v>371.28019999999998</v>
      </c>
      <c r="AA22" s="4">
        <v>826.35149999999999</v>
      </c>
    </row>
    <row r="23" spans="1:27" x14ac:dyDescent="0.2">
      <c r="A23" s="3">
        <v>39326</v>
      </c>
      <c r="B23" s="4">
        <v>15871.6273</v>
      </c>
      <c r="C23" s="4">
        <v>628.8596</v>
      </c>
      <c r="D23" s="4">
        <v>128.4513</v>
      </c>
      <c r="E23" s="4">
        <v>500.4083</v>
      </c>
      <c r="F23" s="5">
        <v>10082.329400000001</v>
      </c>
      <c r="G23" s="4">
        <v>46.930500000000002</v>
      </c>
      <c r="H23" s="4">
        <v>10035.3989</v>
      </c>
      <c r="I23" s="4">
        <v>136.96170000000001</v>
      </c>
      <c r="J23" s="5">
        <v>2361.5410000000002</v>
      </c>
      <c r="K23" s="4">
        <v>2361.5410000000002</v>
      </c>
      <c r="L23" s="4">
        <v>1534.7261000000001</v>
      </c>
      <c r="M23" s="4">
        <v>665.31309999999996</v>
      </c>
      <c r="N23" s="4">
        <v>73.984499999999997</v>
      </c>
      <c r="O23" s="4">
        <v>795.42849999999999</v>
      </c>
      <c r="P23" s="4">
        <v>1127.2094999999999</v>
      </c>
      <c r="Q23" s="4">
        <v>-209.30410000000001</v>
      </c>
      <c r="R23" s="4">
        <v>16080.931399999999</v>
      </c>
      <c r="S23" s="4">
        <v>135.1388</v>
      </c>
      <c r="T23" s="4">
        <v>129.77090000000001</v>
      </c>
      <c r="U23" s="4">
        <v>5.3678999999999997</v>
      </c>
      <c r="V23" s="4">
        <v>2178.8508000000002</v>
      </c>
      <c r="W23" s="4">
        <v>2178.8508000000002</v>
      </c>
      <c r="X23" s="4">
        <v>12942.8104</v>
      </c>
      <c r="Y23" s="4">
        <v>12544.770500000001</v>
      </c>
      <c r="Z23" s="4">
        <v>398.03989999999999</v>
      </c>
      <c r="AA23" s="4">
        <v>824.13139999999999</v>
      </c>
    </row>
    <row r="24" spans="1:27" x14ac:dyDescent="0.2">
      <c r="A24" s="3">
        <v>39417</v>
      </c>
      <c r="B24" s="4">
        <v>16312.153700000001</v>
      </c>
      <c r="C24" s="4">
        <v>698.6875</v>
      </c>
      <c r="D24" s="4">
        <v>152.9769</v>
      </c>
      <c r="E24" s="4">
        <v>545.7106</v>
      </c>
      <c r="F24" s="5">
        <v>10348.763300000001</v>
      </c>
      <c r="G24" s="4">
        <v>73.373199999999997</v>
      </c>
      <c r="H24" s="4">
        <v>10275.390100000001</v>
      </c>
      <c r="I24" s="4">
        <v>139.77209999999999</v>
      </c>
      <c r="J24" s="5">
        <v>2507.6615000000002</v>
      </c>
      <c r="K24" s="4">
        <v>2507.6615000000002</v>
      </c>
      <c r="L24" s="4">
        <v>1470.7596000000001</v>
      </c>
      <c r="M24" s="4">
        <v>673.947</v>
      </c>
      <c r="N24" s="4">
        <v>64.863600000000005</v>
      </c>
      <c r="O24" s="4">
        <v>731.94910000000004</v>
      </c>
      <c r="P24" s="4">
        <v>1146.5097000000001</v>
      </c>
      <c r="Q24" s="4">
        <v>-372.35629999999998</v>
      </c>
      <c r="R24" s="4">
        <v>16684.509900000001</v>
      </c>
      <c r="S24" s="4">
        <v>147.95320000000001</v>
      </c>
      <c r="T24" s="4">
        <v>143.03059999999999</v>
      </c>
      <c r="U24" s="4">
        <v>4.9226000000000001</v>
      </c>
      <c r="V24" s="4">
        <v>2200.7298000000001</v>
      </c>
      <c r="W24" s="4">
        <v>2200.7298000000001</v>
      </c>
      <c r="X24" s="4">
        <v>13426.9316</v>
      </c>
      <c r="Y24" s="4">
        <v>13016.183199999999</v>
      </c>
      <c r="Z24" s="4">
        <v>410.7484</v>
      </c>
      <c r="AA24" s="4">
        <v>908.89530000000002</v>
      </c>
    </row>
    <row r="25" spans="1:27" x14ac:dyDescent="0.2">
      <c r="A25" s="3">
        <v>39508</v>
      </c>
      <c r="B25" s="4">
        <v>16620.3855</v>
      </c>
      <c r="C25" s="4">
        <v>923.88679999999999</v>
      </c>
      <c r="D25" s="4">
        <v>255.63679999999999</v>
      </c>
      <c r="E25" s="4">
        <v>668.25</v>
      </c>
      <c r="F25" s="5">
        <v>10532.413200000001</v>
      </c>
      <c r="G25" s="4">
        <v>55.741500000000002</v>
      </c>
      <c r="H25" s="4">
        <v>10476.6718</v>
      </c>
      <c r="I25" s="4">
        <v>147.2894</v>
      </c>
      <c r="J25" s="5">
        <v>2623.7188999999998</v>
      </c>
      <c r="K25" s="4">
        <v>2623.7188999999998</v>
      </c>
      <c r="L25" s="4">
        <v>1371.6629</v>
      </c>
      <c r="M25" s="4">
        <v>595.29349999999999</v>
      </c>
      <c r="N25" s="4">
        <v>79.591300000000004</v>
      </c>
      <c r="O25" s="4">
        <v>696.77809999999999</v>
      </c>
      <c r="P25" s="4">
        <v>1021.4142000000001</v>
      </c>
      <c r="Q25" s="4">
        <v>-273.79610000000002</v>
      </c>
      <c r="R25" s="4">
        <v>16894.1816</v>
      </c>
      <c r="S25" s="4">
        <v>136.03280000000001</v>
      </c>
      <c r="T25" s="4">
        <v>133.03989999999999</v>
      </c>
      <c r="U25" s="4">
        <v>2.9929000000000001</v>
      </c>
      <c r="V25" s="4">
        <v>2169.0610999999999</v>
      </c>
      <c r="W25" s="4">
        <v>2169.0610999999999</v>
      </c>
      <c r="X25" s="4">
        <v>13789.1531</v>
      </c>
      <c r="Y25" s="4">
        <v>13368.725899999999</v>
      </c>
      <c r="Z25" s="4">
        <v>420.42720000000003</v>
      </c>
      <c r="AA25" s="4">
        <v>799.93460000000005</v>
      </c>
    </row>
    <row r="26" spans="1:27" x14ac:dyDescent="0.2">
      <c r="A26" s="3">
        <v>39600</v>
      </c>
      <c r="B26" s="4">
        <v>16942.059300000001</v>
      </c>
      <c r="C26" s="4">
        <v>643.5453</v>
      </c>
      <c r="D26" s="4">
        <v>136.19919999999999</v>
      </c>
      <c r="E26" s="4">
        <v>507.34609999999998</v>
      </c>
      <c r="F26" s="5">
        <v>10595.335999999999</v>
      </c>
      <c r="G26" s="4">
        <v>95.496899999999997</v>
      </c>
      <c r="H26" s="4">
        <v>10499.839099999999</v>
      </c>
      <c r="I26" s="4">
        <v>155.0052</v>
      </c>
      <c r="J26" s="5">
        <v>2939.0610999999999</v>
      </c>
      <c r="K26" s="4">
        <v>2939.0610999999999</v>
      </c>
      <c r="L26" s="4">
        <v>1429.2923000000001</v>
      </c>
      <c r="M26" s="4">
        <v>585.43029999999999</v>
      </c>
      <c r="N26" s="4">
        <v>86.653300000000002</v>
      </c>
      <c r="O26" s="4">
        <v>757.20870000000002</v>
      </c>
      <c r="P26" s="4">
        <v>1179.8194000000001</v>
      </c>
      <c r="Q26" s="4">
        <v>-834.95669999999996</v>
      </c>
      <c r="R26" s="4">
        <v>17777.016</v>
      </c>
      <c r="S26" s="4">
        <v>124.21599999999999</v>
      </c>
      <c r="T26" s="4">
        <v>105.44289999999999</v>
      </c>
      <c r="U26" s="4">
        <v>18.773</v>
      </c>
      <c r="V26" s="4">
        <v>2197.7552000000001</v>
      </c>
      <c r="W26" s="4">
        <v>2197.7552000000001</v>
      </c>
      <c r="X26" s="4">
        <v>14394.543900000001</v>
      </c>
      <c r="Y26" s="4">
        <v>13947.542100000001</v>
      </c>
      <c r="Z26" s="4">
        <v>447.0018</v>
      </c>
      <c r="AA26" s="4">
        <v>1060.5009</v>
      </c>
    </row>
    <row r="27" spans="1:27" x14ac:dyDescent="0.2">
      <c r="A27" s="3">
        <v>39692</v>
      </c>
      <c r="B27" s="4">
        <v>17821.602500000001</v>
      </c>
      <c r="C27" s="4">
        <v>645.72249999999997</v>
      </c>
      <c r="D27" s="4">
        <v>128.10210000000001</v>
      </c>
      <c r="E27" s="4">
        <v>517.62040000000002</v>
      </c>
      <c r="F27" s="5">
        <v>11391.789699999999</v>
      </c>
      <c r="G27" s="4">
        <v>216.7979</v>
      </c>
      <c r="H27" s="4">
        <v>11174.9918</v>
      </c>
      <c r="I27" s="4">
        <v>159.5326</v>
      </c>
      <c r="J27" s="5">
        <v>3131.5133999999998</v>
      </c>
      <c r="K27" s="4">
        <v>3131.5133999999998</v>
      </c>
      <c r="L27" s="4">
        <v>1258.7536</v>
      </c>
      <c r="M27" s="4">
        <v>504.35390000000001</v>
      </c>
      <c r="N27" s="4">
        <v>67.118399999999994</v>
      </c>
      <c r="O27" s="4">
        <v>687.28129999999999</v>
      </c>
      <c r="P27" s="4">
        <v>1234.2907</v>
      </c>
      <c r="Q27" s="4">
        <v>-743.07860000000005</v>
      </c>
      <c r="R27" s="4">
        <v>18564.681100000002</v>
      </c>
      <c r="S27" s="4">
        <v>135.61879999999999</v>
      </c>
      <c r="T27" s="4">
        <v>134.6431</v>
      </c>
      <c r="U27" s="4">
        <v>0.97570000000000001</v>
      </c>
      <c r="V27" s="4">
        <v>2207.4340000000002</v>
      </c>
      <c r="W27" s="4">
        <v>2207.4340000000002</v>
      </c>
      <c r="X27" s="4">
        <v>15115.9126</v>
      </c>
      <c r="Y27" s="4">
        <v>14638.236800000001</v>
      </c>
      <c r="Z27" s="4">
        <v>477.67579999999998</v>
      </c>
      <c r="AA27" s="4">
        <v>1105.7157</v>
      </c>
    </row>
    <row r="28" spans="1:27" x14ac:dyDescent="0.2">
      <c r="A28" s="3">
        <v>39783</v>
      </c>
      <c r="B28" s="4">
        <v>17545.737000000001</v>
      </c>
      <c r="C28" s="4">
        <v>665.80439999999999</v>
      </c>
      <c r="D28" s="4">
        <v>134.2791</v>
      </c>
      <c r="E28" s="4">
        <v>531.52530000000002</v>
      </c>
      <c r="F28" s="5">
        <v>11112.1386</v>
      </c>
      <c r="G28" s="4">
        <v>283.21449999999999</v>
      </c>
      <c r="H28" s="4">
        <v>10828.9241</v>
      </c>
      <c r="I28" s="4">
        <v>188.19409999999999</v>
      </c>
      <c r="J28" s="5">
        <v>3244.0569999999998</v>
      </c>
      <c r="K28" s="4">
        <v>3244.0569999999998</v>
      </c>
      <c r="L28" s="4">
        <v>1169.2635</v>
      </c>
      <c r="M28" s="4">
        <v>437.7878</v>
      </c>
      <c r="N28" s="4">
        <v>77.865899999999996</v>
      </c>
      <c r="O28" s="4">
        <v>653.60979999999995</v>
      </c>
      <c r="P28" s="4">
        <v>1166.2793999999999</v>
      </c>
      <c r="Q28" s="4">
        <v>-1456.9593</v>
      </c>
      <c r="R28" s="4">
        <v>19002.6963</v>
      </c>
      <c r="S28" s="4">
        <v>131.74549999999999</v>
      </c>
      <c r="T28" s="4">
        <v>105.7315</v>
      </c>
      <c r="U28" s="4">
        <v>26.013999999999999</v>
      </c>
      <c r="V28" s="4">
        <v>2199.5120999999999</v>
      </c>
      <c r="W28" s="4">
        <v>2199.5120999999999</v>
      </c>
      <c r="X28" s="4">
        <v>15585.427600000001</v>
      </c>
      <c r="Y28" s="4">
        <v>15101.0057</v>
      </c>
      <c r="Z28" s="4">
        <v>484.42180000000002</v>
      </c>
      <c r="AA28" s="4">
        <v>1086.0110999999999</v>
      </c>
    </row>
    <row r="29" spans="1:27" x14ac:dyDescent="0.2">
      <c r="A29" s="3">
        <v>39873</v>
      </c>
      <c r="B29" s="4">
        <v>17642.098099999999</v>
      </c>
      <c r="C29" s="4">
        <v>731.72130000000004</v>
      </c>
      <c r="D29" s="4">
        <v>150.94409999999999</v>
      </c>
      <c r="E29" s="4">
        <v>580.77710000000002</v>
      </c>
      <c r="F29" s="5">
        <v>11281.000099999999</v>
      </c>
      <c r="G29" s="4">
        <v>241.4366</v>
      </c>
      <c r="H29" s="4">
        <v>11039.563399999999</v>
      </c>
      <c r="I29" s="4">
        <v>162.80240000000001</v>
      </c>
      <c r="J29" s="5">
        <v>3263.8507</v>
      </c>
      <c r="K29" s="4">
        <v>3263.8507</v>
      </c>
      <c r="L29" s="4">
        <v>1164.6831999999999</v>
      </c>
      <c r="M29" s="4">
        <v>392.3501</v>
      </c>
      <c r="N29" s="4">
        <v>80.263800000000003</v>
      </c>
      <c r="O29" s="4">
        <v>692.0693</v>
      </c>
      <c r="P29" s="4">
        <v>1038.0404000000001</v>
      </c>
      <c r="Q29" s="4">
        <v>-984.36300000000006</v>
      </c>
      <c r="R29" s="4">
        <v>18626.4611</v>
      </c>
      <c r="S29" s="4">
        <v>104.8647</v>
      </c>
      <c r="T29" s="4">
        <v>79.339600000000004</v>
      </c>
      <c r="U29" s="4">
        <v>25.525099999999998</v>
      </c>
      <c r="V29" s="4">
        <v>2266.6365999999998</v>
      </c>
      <c r="W29" s="4">
        <v>2266.6365999999998</v>
      </c>
      <c r="X29" s="4">
        <v>15352.495500000001</v>
      </c>
      <c r="Y29" s="4">
        <v>14883.5285</v>
      </c>
      <c r="Z29" s="4">
        <v>468.96699999999998</v>
      </c>
      <c r="AA29" s="4">
        <v>902.46439999999996</v>
      </c>
    </row>
    <row r="30" spans="1:27" x14ac:dyDescent="0.2">
      <c r="A30" s="3">
        <v>39965</v>
      </c>
      <c r="B30" s="4">
        <v>17818.223000000002</v>
      </c>
      <c r="C30" s="4">
        <v>663.63250000000005</v>
      </c>
      <c r="D30" s="4">
        <v>159.2741</v>
      </c>
      <c r="E30" s="4">
        <v>504.35840000000002</v>
      </c>
      <c r="F30" s="5">
        <v>11329.4537</v>
      </c>
      <c r="G30" s="4">
        <v>211.297</v>
      </c>
      <c r="H30" s="4">
        <v>11118.1567</v>
      </c>
      <c r="I30" s="4">
        <v>156.6146</v>
      </c>
      <c r="J30" s="5">
        <v>3276.3422</v>
      </c>
      <c r="K30" s="4">
        <v>3276.3422</v>
      </c>
      <c r="L30" s="4">
        <v>1292.8623</v>
      </c>
      <c r="M30" s="4">
        <v>446.80790000000002</v>
      </c>
      <c r="N30" s="4">
        <v>95.460599999999999</v>
      </c>
      <c r="O30" s="4">
        <v>750.59379999999999</v>
      </c>
      <c r="P30" s="4">
        <v>1099.3178</v>
      </c>
      <c r="Q30" s="4">
        <v>-1103.2873999999999</v>
      </c>
      <c r="R30" s="4">
        <v>18921.5105</v>
      </c>
      <c r="S30" s="4">
        <v>98.092799999999997</v>
      </c>
      <c r="T30" s="4">
        <v>72.795100000000005</v>
      </c>
      <c r="U30" s="4">
        <v>25.297699999999999</v>
      </c>
      <c r="V30" s="4">
        <v>2373.2611000000002</v>
      </c>
      <c r="W30" s="4">
        <v>2373.2611000000002</v>
      </c>
      <c r="X30" s="4">
        <v>15500.7922</v>
      </c>
      <c r="Y30" s="4">
        <v>15016.732900000001</v>
      </c>
      <c r="Z30" s="4">
        <v>484.05930000000001</v>
      </c>
      <c r="AA30" s="4">
        <v>949.36440000000005</v>
      </c>
    </row>
    <row r="31" spans="1:27" x14ac:dyDescent="0.2">
      <c r="A31" s="3">
        <v>40057</v>
      </c>
      <c r="B31" s="4">
        <v>18450.706099999999</v>
      </c>
      <c r="C31" s="4">
        <v>597.59630000000004</v>
      </c>
      <c r="D31" s="4">
        <v>161.8794</v>
      </c>
      <c r="E31" s="4">
        <v>435.71690000000001</v>
      </c>
      <c r="F31" s="5">
        <v>11608.194299999999</v>
      </c>
      <c r="G31" s="4">
        <v>71.189800000000005</v>
      </c>
      <c r="H31" s="4">
        <v>11537.004499999999</v>
      </c>
      <c r="I31" s="4">
        <v>148.3338</v>
      </c>
      <c r="J31" s="5">
        <v>3278.2656000000002</v>
      </c>
      <c r="K31" s="4">
        <v>3278.2656000000002</v>
      </c>
      <c r="L31" s="4">
        <v>1609.2061000000001</v>
      </c>
      <c r="M31" s="4">
        <v>530.30139999999994</v>
      </c>
      <c r="N31" s="4">
        <v>123.1694</v>
      </c>
      <c r="O31" s="4">
        <v>955.73530000000005</v>
      </c>
      <c r="P31" s="4">
        <v>1209.1101000000001</v>
      </c>
      <c r="Q31" s="4">
        <v>-877.99919999999997</v>
      </c>
      <c r="R31" s="4">
        <v>19328.705300000001</v>
      </c>
      <c r="S31" s="4">
        <v>116.03440000000001</v>
      </c>
      <c r="T31" s="4">
        <v>84.789599999999993</v>
      </c>
      <c r="U31" s="4">
        <v>31.244800000000001</v>
      </c>
      <c r="V31" s="4">
        <v>2473.8910999999998</v>
      </c>
      <c r="W31" s="4">
        <v>2473.8910999999998</v>
      </c>
      <c r="X31" s="4">
        <v>15676.958000000001</v>
      </c>
      <c r="Y31" s="4">
        <v>15162.7047</v>
      </c>
      <c r="Z31" s="4">
        <v>514.25329999999997</v>
      </c>
      <c r="AA31" s="4">
        <v>1061.8217999999999</v>
      </c>
    </row>
    <row r="32" spans="1:27" x14ac:dyDescent="0.2">
      <c r="A32" s="3">
        <v>40148</v>
      </c>
      <c r="B32" s="4">
        <v>18797.6204</v>
      </c>
      <c r="C32" s="4">
        <v>696.65350000000001</v>
      </c>
      <c r="D32" s="4">
        <v>152.9768</v>
      </c>
      <c r="E32" s="4">
        <v>543.67669999999998</v>
      </c>
      <c r="F32" s="5">
        <v>11651.7287</v>
      </c>
      <c r="G32" s="4">
        <v>64.8309</v>
      </c>
      <c r="H32" s="4">
        <v>11586.897800000001</v>
      </c>
      <c r="I32" s="4">
        <v>145.57089999999999</v>
      </c>
      <c r="J32" s="5">
        <v>3445.3217</v>
      </c>
      <c r="K32" s="4">
        <v>3445.3217</v>
      </c>
      <c r="L32" s="4">
        <v>1598.5752</v>
      </c>
      <c r="M32" s="4">
        <v>585.76509999999996</v>
      </c>
      <c r="N32" s="4">
        <v>99.590299999999999</v>
      </c>
      <c r="O32" s="4">
        <v>913.21969999999999</v>
      </c>
      <c r="P32" s="4">
        <v>1259.7706000000001</v>
      </c>
      <c r="Q32" s="4">
        <v>-909.34690000000001</v>
      </c>
      <c r="R32" s="4">
        <v>19706.967400000001</v>
      </c>
      <c r="S32" s="4">
        <v>159.45140000000001</v>
      </c>
      <c r="T32" s="4">
        <v>126.0921</v>
      </c>
      <c r="U32" s="4">
        <v>33.359200000000001</v>
      </c>
      <c r="V32" s="4">
        <v>2506.9666999999999</v>
      </c>
      <c r="W32" s="4">
        <v>2506.9666999999999</v>
      </c>
      <c r="X32" s="4">
        <v>15944.0453</v>
      </c>
      <c r="Y32" s="4">
        <v>15465.9184</v>
      </c>
      <c r="Z32" s="4">
        <v>478.12689999999998</v>
      </c>
      <c r="AA32" s="4">
        <v>1096.5039999999999</v>
      </c>
    </row>
    <row r="33" spans="1:27" x14ac:dyDescent="0.2">
      <c r="A33" s="3">
        <v>40238</v>
      </c>
      <c r="B33" s="4">
        <v>23282.512200000001</v>
      </c>
      <c r="C33" s="4">
        <v>730.08190000000002</v>
      </c>
      <c r="D33" s="4">
        <v>162.6011</v>
      </c>
      <c r="E33" s="4">
        <v>567.48090000000002</v>
      </c>
      <c r="F33" s="5">
        <v>12042.6376</v>
      </c>
      <c r="G33" s="4">
        <v>104.6978</v>
      </c>
      <c r="H33" s="4">
        <v>11937.9398</v>
      </c>
      <c r="I33" s="4">
        <v>116.6049</v>
      </c>
      <c r="J33" s="5">
        <v>3459.942</v>
      </c>
      <c r="K33" s="4">
        <v>3459.942</v>
      </c>
      <c r="L33" s="4">
        <v>1841.4527</v>
      </c>
      <c r="M33" s="4">
        <v>644.52750000000003</v>
      </c>
      <c r="N33" s="4">
        <v>151.953</v>
      </c>
      <c r="O33" s="4">
        <v>1044.9721999999999</v>
      </c>
      <c r="P33" s="4">
        <v>5091.7930999999999</v>
      </c>
      <c r="Q33" s="4">
        <v>-690.65070000000003</v>
      </c>
      <c r="R33" s="4">
        <v>23973.162899999999</v>
      </c>
      <c r="S33" s="4">
        <v>158.1919</v>
      </c>
      <c r="T33" s="4">
        <v>124.79430000000001</v>
      </c>
      <c r="U33" s="4">
        <v>33.397599999999997</v>
      </c>
      <c r="V33" s="4">
        <v>2624.1984000000002</v>
      </c>
      <c r="W33" s="4">
        <v>2624.1984000000002</v>
      </c>
      <c r="X33" s="4">
        <v>16250.587</v>
      </c>
      <c r="Y33" s="4">
        <v>15718.3087</v>
      </c>
      <c r="Z33" s="4">
        <v>532.27829999999994</v>
      </c>
      <c r="AA33" s="4">
        <v>4940.1855999999998</v>
      </c>
    </row>
    <row r="34" spans="1:27" x14ac:dyDescent="0.2">
      <c r="A34" s="3">
        <v>40330</v>
      </c>
      <c r="B34" s="4">
        <v>24018.114000000001</v>
      </c>
      <c r="C34" s="4">
        <v>743.57650000000001</v>
      </c>
      <c r="D34" s="4">
        <v>255.74379999999999</v>
      </c>
      <c r="E34" s="4">
        <v>487.83269999999999</v>
      </c>
      <c r="F34" s="5">
        <v>12761.1348</v>
      </c>
      <c r="G34" s="4">
        <v>166.72139999999999</v>
      </c>
      <c r="H34" s="4">
        <v>12594.413399999999</v>
      </c>
      <c r="I34" s="4">
        <v>170.11330000000001</v>
      </c>
      <c r="J34" s="5">
        <v>3446.4209000000001</v>
      </c>
      <c r="K34" s="4">
        <v>3446.4209000000001</v>
      </c>
      <c r="L34" s="4">
        <v>1912.6442</v>
      </c>
      <c r="M34" s="4">
        <v>686.41520000000003</v>
      </c>
      <c r="N34" s="4">
        <v>159.20670000000001</v>
      </c>
      <c r="O34" s="4">
        <v>1067.0223000000001</v>
      </c>
      <c r="P34" s="4">
        <v>4984.2242999999999</v>
      </c>
      <c r="Q34" s="4">
        <v>-367.63780000000003</v>
      </c>
      <c r="R34" s="4">
        <v>24385.751799999998</v>
      </c>
      <c r="S34" s="4">
        <v>171.08439999999999</v>
      </c>
      <c r="T34" s="4">
        <v>137.36930000000001</v>
      </c>
      <c r="U34" s="4">
        <v>33.7151</v>
      </c>
      <c r="V34" s="4">
        <v>2627.3737000000001</v>
      </c>
      <c r="W34" s="4">
        <v>2627.3737000000001</v>
      </c>
      <c r="X34" s="4">
        <v>16882.133999999998</v>
      </c>
      <c r="Y34" s="4">
        <v>16090.7718</v>
      </c>
      <c r="Z34" s="4">
        <v>791.36220000000003</v>
      </c>
      <c r="AA34" s="4">
        <v>4705.1598000000004</v>
      </c>
    </row>
    <row r="35" spans="1:27" x14ac:dyDescent="0.2">
      <c r="A35" s="3">
        <v>40422</v>
      </c>
      <c r="B35" s="4">
        <v>23541.3465</v>
      </c>
      <c r="C35" s="4">
        <v>1020.646</v>
      </c>
      <c r="D35" s="4">
        <v>275.81360000000001</v>
      </c>
      <c r="E35" s="4">
        <v>744.83240000000001</v>
      </c>
      <c r="F35" s="5">
        <v>12850.951300000001</v>
      </c>
      <c r="G35" s="4">
        <v>215.53309999999999</v>
      </c>
      <c r="H35" s="4">
        <v>12635.4182</v>
      </c>
      <c r="I35" s="4">
        <v>177.42740000000001</v>
      </c>
      <c r="J35" s="5">
        <v>3463.2091999999998</v>
      </c>
      <c r="K35" s="4">
        <v>3463.2091999999998</v>
      </c>
      <c r="L35" s="4">
        <v>2025.8904</v>
      </c>
      <c r="M35" s="4">
        <v>784.39980000000003</v>
      </c>
      <c r="N35" s="4">
        <v>162.22550000000001</v>
      </c>
      <c r="O35" s="4">
        <v>1079.2652</v>
      </c>
      <c r="P35" s="4">
        <v>4003.2222000000002</v>
      </c>
      <c r="Q35" s="4">
        <v>-250.72120000000001</v>
      </c>
      <c r="R35" s="4">
        <v>23792.0677</v>
      </c>
      <c r="S35" s="4">
        <v>176.57759999999999</v>
      </c>
      <c r="T35" s="4">
        <v>148.76220000000001</v>
      </c>
      <c r="U35" s="4">
        <v>27.8155</v>
      </c>
      <c r="V35" s="4">
        <v>2764.1797000000001</v>
      </c>
      <c r="W35" s="4">
        <v>2764.1797000000001</v>
      </c>
      <c r="X35" s="4">
        <v>17253.750800000002</v>
      </c>
      <c r="Y35" s="4">
        <v>16427.174599999998</v>
      </c>
      <c r="Z35" s="4">
        <v>826.57619999999997</v>
      </c>
      <c r="AA35" s="4">
        <v>3597.5596</v>
      </c>
    </row>
    <row r="36" spans="1:27" x14ac:dyDescent="0.2">
      <c r="A36" s="3">
        <v>40513</v>
      </c>
      <c r="B36" s="4">
        <v>23006.8878</v>
      </c>
      <c r="C36" s="4">
        <v>1032.278</v>
      </c>
      <c r="D36" s="4">
        <v>304.09660000000002</v>
      </c>
      <c r="E36" s="4">
        <v>728.18129999999996</v>
      </c>
      <c r="F36" s="5">
        <v>13087.8308</v>
      </c>
      <c r="G36" s="4">
        <v>231.65430000000001</v>
      </c>
      <c r="H36" s="4">
        <v>12856.1765</v>
      </c>
      <c r="I36" s="4">
        <v>193.63730000000001</v>
      </c>
      <c r="J36" s="5">
        <v>3443.7862</v>
      </c>
      <c r="K36" s="4">
        <v>3443.7862</v>
      </c>
      <c r="L36" s="4">
        <v>2092.8982000000001</v>
      </c>
      <c r="M36" s="4">
        <v>761.20820000000003</v>
      </c>
      <c r="N36" s="4">
        <v>140.05619999999999</v>
      </c>
      <c r="O36" s="4">
        <v>1191.6338000000001</v>
      </c>
      <c r="P36" s="4">
        <v>3156.4573</v>
      </c>
      <c r="Q36" s="4">
        <v>-306.85599999999999</v>
      </c>
      <c r="R36" s="4">
        <v>23313.7438</v>
      </c>
      <c r="S36" s="4">
        <v>164.24719999999999</v>
      </c>
      <c r="T36" s="4">
        <v>156.85230000000001</v>
      </c>
      <c r="U36" s="4">
        <v>7.3948</v>
      </c>
      <c r="V36" s="4">
        <v>2831.5581000000002</v>
      </c>
      <c r="W36" s="4">
        <v>2831.5581000000002</v>
      </c>
      <c r="X36" s="4">
        <v>17479.109700000001</v>
      </c>
      <c r="Y36" s="4">
        <v>16717.5023</v>
      </c>
      <c r="Z36" s="4">
        <v>761.60739999999998</v>
      </c>
      <c r="AA36" s="4">
        <v>2838.8289</v>
      </c>
    </row>
    <row r="37" spans="1:27" x14ac:dyDescent="0.2">
      <c r="A37" s="3">
        <v>40603</v>
      </c>
      <c r="B37" s="4">
        <v>23017.017</v>
      </c>
      <c r="C37" s="4">
        <v>862.82010000000002</v>
      </c>
      <c r="D37" s="4">
        <v>257.29149999999998</v>
      </c>
      <c r="E37" s="4">
        <v>605.52859999999998</v>
      </c>
      <c r="F37" s="5">
        <v>13506.7196</v>
      </c>
      <c r="G37" s="4">
        <v>248.06190000000001</v>
      </c>
      <c r="H37" s="4">
        <v>13258.6577</v>
      </c>
      <c r="I37" s="4">
        <v>201.71180000000001</v>
      </c>
      <c r="J37" s="5">
        <v>3508.201</v>
      </c>
      <c r="K37" s="4">
        <v>3508.201</v>
      </c>
      <c r="L37" s="4">
        <v>2156.3215</v>
      </c>
      <c r="M37" s="4">
        <v>756.86540000000002</v>
      </c>
      <c r="N37" s="4">
        <v>172.28190000000001</v>
      </c>
      <c r="O37" s="4">
        <v>1227.1742999999999</v>
      </c>
      <c r="P37" s="4">
        <v>2781.2429999999999</v>
      </c>
      <c r="Q37" s="4">
        <v>-213.96299999999999</v>
      </c>
      <c r="R37" s="4">
        <v>23230.979899999998</v>
      </c>
      <c r="S37" s="4">
        <v>158.5497</v>
      </c>
      <c r="T37" s="4">
        <v>151.30179999999999</v>
      </c>
      <c r="U37" s="4">
        <v>7.2478999999999996</v>
      </c>
      <c r="V37" s="4">
        <v>2893.1756999999998</v>
      </c>
      <c r="W37" s="4">
        <v>2893.1756999999998</v>
      </c>
      <c r="X37" s="4">
        <v>17729.3511</v>
      </c>
      <c r="Y37" s="4">
        <v>17012.4938</v>
      </c>
      <c r="Z37" s="4">
        <v>716.85730000000001</v>
      </c>
      <c r="AA37" s="4">
        <v>2449.9034999999999</v>
      </c>
    </row>
    <row r="38" spans="1:27" x14ac:dyDescent="0.2">
      <c r="A38" s="3">
        <v>40695</v>
      </c>
      <c r="B38" s="4">
        <v>22999.755799999999</v>
      </c>
      <c r="C38" s="4">
        <v>928.04679999999996</v>
      </c>
      <c r="D38" s="4">
        <v>269.0804</v>
      </c>
      <c r="E38" s="4">
        <v>658.96640000000002</v>
      </c>
      <c r="F38" s="5">
        <v>13632.3282</v>
      </c>
      <c r="G38" s="4">
        <v>259.17860000000002</v>
      </c>
      <c r="H38" s="4">
        <v>13373.149600000001</v>
      </c>
      <c r="I38" s="4">
        <v>222.14609999999999</v>
      </c>
      <c r="J38" s="5">
        <v>3565.2004999999999</v>
      </c>
      <c r="K38" s="4">
        <v>3565.2004999999999</v>
      </c>
      <c r="L38" s="4">
        <v>2179.6086</v>
      </c>
      <c r="M38" s="4">
        <v>765.70029999999997</v>
      </c>
      <c r="N38" s="4">
        <v>151.4665</v>
      </c>
      <c r="O38" s="4">
        <v>1262.4418000000001</v>
      </c>
      <c r="P38" s="4">
        <v>2472.4256</v>
      </c>
      <c r="Q38" s="4">
        <v>-393.78919999999999</v>
      </c>
      <c r="R38" s="4">
        <v>23393.544999999998</v>
      </c>
      <c r="S38" s="4">
        <v>162.392</v>
      </c>
      <c r="T38" s="4">
        <v>147.6807</v>
      </c>
      <c r="U38" s="4">
        <v>14.711399999999999</v>
      </c>
      <c r="V38" s="4">
        <v>2809.2840999999999</v>
      </c>
      <c r="W38" s="4">
        <v>2809.2840999999999</v>
      </c>
      <c r="X38" s="4">
        <v>18266.0334</v>
      </c>
      <c r="Y38" s="4">
        <v>17547.661700000001</v>
      </c>
      <c r="Z38" s="4">
        <v>718.37170000000003</v>
      </c>
      <c r="AA38" s="4">
        <v>2155.8353000000002</v>
      </c>
    </row>
    <row r="39" spans="1:27" x14ac:dyDescent="0.2">
      <c r="A39" s="3">
        <v>40787</v>
      </c>
      <c r="B39" s="4">
        <v>23572.6443</v>
      </c>
      <c r="C39" s="4">
        <v>862.6223</v>
      </c>
      <c r="D39" s="4">
        <v>165.65049999999999</v>
      </c>
      <c r="E39" s="4">
        <v>696.97170000000006</v>
      </c>
      <c r="F39" s="5">
        <v>14249.5591</v>
      </c>
      <c r="G39" s="4">
        <v>283.5752</v>
      </c>
      <c r="H39" s="4">
        <v>13965.983899999999</v>
      </c>
      <c r="I39" s="4">
        <v>280.09870000000001</v>
      </c>
      <c r="J39" s="5">
        <v>3641.8595</v>
      </c>
      <c r="K39" s="4">
        <v>3641.8595</v>
      </c>
      <c r="L39" s="4">
        <v>2076.9792000000002</v>
      </c>
      <c r="M39" s="4">
        <v>658.39530000000002</v>
      </c>
      <c r="N39" s="4">
        <v>156.2176</v>
      </c>
      <c r="O39" s="4">
        <v>1262.3661999999999</v>
      </c>
      <c r="P39" s="4">
        <v>2461.5255999999999</v>
      </c>
      <c r="Q39" s="4">
        <v>-119.4884</v>
      </c>
      <c r="R39" s="4">
        <v>23692.132699999998</v>
      </c>
      <c r="S39" s="4">
        <v>174.84899999999999</v>
      </c>
      <c r="T39" s="4">
        <v>152.42449999999999</v>
      </c>
      <c r="U39" s="4">
        <v>22.424499999999998</v>
      </c>
      <c r="V39" s="4">
        <v>2738.3822</v>
      </c>
      <c r="W39" s="4">
        <v>2738.3822</v>
      </c>
      <c r="X39" s="4">
        <v>18564.2189</v>
      </c>
      <c r="Y39" s="4">
        <v>17847.7984</v>
      </c>
      <c r="Z39" s="4">
        <v>716.42049999999995</v>
      </c>
      <c r="AA39" s="4">
        <v>2214.6826000000001</v>
      </c>
    </row>
    <row r="40" spans="1:27" x14ac:dyDescent="0.2">
      <c r="A40" s="3">
        <v>40878</v>
      </c>
      <c r="B40" s="4">
        <v>24105.223600000001</v>
      </c>
      <c r="C40" s="4">
        <v>1010.7</v>
      </c>
      <c r="D40" s="4">
        <v>193.82830000000001</v>
      </c>
      <c r="E40" s="4">
        <v>816.87170000000003</v>
      </c>
      <c r="F40" s="5">
        <v>14344.64</v>
      </c>
      <c r="G40" s="4">
        <v>287.80110000000002</v>
      </c>
      <c r="H40" s="4">
        <v>14056.8388</v>
      </c>
      <c r="I40" s="4">
        <v>158.54669999999999</v>
      </c>
      <c r="J40" s="5">
        <v>3754.3915999999999</v>
      </c>
      <c r="K40" s="4">
        <v>3754.3915999999999</v>
      </c>
      <c r="L40" s="4">
        <v>2263.6354999999999</v>
      </c>
      <c r="M40" s="4">
        <v>794.10559999999998</v>
      </c>
      <c r="N40" s="4">
        <v>168.45089999999999</v>
      </c>
      <c r="O40" s="4">
        <v>1301.079</v>
      </c>
      <c r="P40" s="4">
        <v>2573.31</v>
      </c>
      <c r="Q40" s="4">
        <v>-457.23160000000001</v>
      </c>
      <c r="R40" s="4">
        <v>24562.4552</v>
      </c>
      <c r="S40" s="4">
        <v>199.46080000000001</v>
      </c>
      <c r="T40" s="4">
        <v>149.0438</v>
      </c>
      <c r="U40" s="4">
        <v>50.416899999999998</v>
      </c>
      <c r="V40" s="4">
        <v>2853.8715999999999</v>
      </c>
      <c r="W40" s="4">
        <v>2853.8715999999999</v>
      </c>
      <c r="X40" s="4">
        <v>19124.43</v>
      </c>
      <c r="Y40" s="4">
        <v>18359.943899999998</v>
      </c>
      <c r="Z40" s="4">
        <v>764.48609999999996</v>
      </c>
      <c r="AA40" s="4">
        <v>2384.6927999999998</v>
      </c>
    </row>
    <row r="41" spans="1:27" x14ac:dyDescent="0.2">
      <c r="A41" s="3">
        <v>40969</v>
      </c>
      <c r="B41" s="4">
        <v>24205.073</v>
      </c>
      <c r="C41" s="4">
        <v>1098.0345</v>
      </c>
      <c r="D41" s="4">
        <v>261.52670000000001</v>
      </c>
      <c r="E41" s="4">
        <v>836.50779999999997</v>
      </c>
      <c r="F41" s="5">
        <v>14616.8498</v>
      </c>
      <c r="G41" s="4">
        <v>3.8108</v>
      </c>
      <c r="H41" s="4">
        <v>14613.0391</v>
      </c>
      <c r="I41" s="4">
        <v>26.091100000000001</v>
      </c>
      <c r="J41" s="5">
        <v>3848.0185000000001</v>
      </c>
      <c r="K41" s="4">
        <v>3848.0185000000001</v>
      </c>
      <c r="L41" s="4">
        <v>2211.61</v>
      </c>
      <c r="M41" s="4">
        <v>654.84429999999998</v>
      </c>
      <c r="N41" s="4">
        <v>177.23169999999999</v>
      </c>
      <c r="O41" s="4">
        <v>1379.5340000000001</v>
      </c>
      <c r="P41" s="4">
        <v>2404.4690999999998</v>
      </c>
      <c r="Q41" s="4">
        <v>-802.58130000000006</v>
      </c>
      <c r="R41" s="4">
        <v>25007.654299999998</v>
      </c>
      <c r="S41" s="4">
        <v>215.26750000000001</v>
      </c>
      <c r="T41" s="4">
        <v>157.298</v>
      </c>
      <c r="U41" s="4">
        <v>57.969499999999996</v>
      </c>
      <c r="V41" s="4">
        <v>3005.4477999999999</v>
      </c>
      <c r="W41" s="4">
        <v>3005.4477999999999</v>
      </c>
      <c r="X41" s="4">
        <v>19798.364600000001</v>
      </c>
      <c r="Y41" s="4">
        <v>19025.517899999999</v>
      </c>
      <c r="Z41" s="4">
        <v>772.84680000000003</v>
      </c>
      <c r="AA41" s="4">
        <v>1988.5744</v>
      </c>
    </row>
    <row r="42" spans="1:27" x14ac:dyDescent="0.2">
      <c r="A42" s="3">
        <v>41061</v>
      </c>
      <c r="B42" s="4">
        <v>24520.205900000001</v>
      </c>
      <c r="C42" s="4">
        <v>1075.9453000000001</v>
      </c>
      <c r="D42" s="4">
        <v>266.08370000000002</v>
      </c>
      <c r="E42" s="4">
        <v>809.86159999999995</v>
      </c>
      <c r="F42" s="5">
        <v>15065.792799999999</v>
      </c>
      <c r="G42" s="4">
        <v>3.7338</v>
      </c>
      <c r="H42" s="4">
        <v>15062.0589</v>
      </c>
      <c r="I42" s="4">
        <v>67.686499999999995</v>
      </c>
      <c r="J42" s="5">
        <v>3913.3555000000001</v>
      </c>
      <c r="K42" s="4">
        <v>3913.3555000000001</v>
      </c>
      <c r="L42" s="4">
        <v>2116.0500999999999</v>
      </c>
      <c r="M42" s="4">
        <v>617.34490000000005</v>
      </c>
      <c r="N42" s="4">
        <v>151.3503</v>
      </c>
      <c r="O42" s="4">
        <v>1347.355</v>
      </c>
      <c r="P42" s="4">
        <v>2281.3757000000001</v>
      </c>
      <c r="Q42" s="4">
        <v>-802.41330000000005</v>
      </c>
      <c r="R42" s="4">
        <v>25322.619200000001</v>
      </c>
      <c r="S42" s="4">
        <v>203.339</v>
      </c>
      <c r="T42" s="4">
        <v>150.79759999999999</v>
      </c>
      <c r="U42" s="4">
        <v>52.541499999999999</v>
      </c>
      <c r="V42" s="4">
        <v>2980.4101999999998</v>
      </c>
      <c r="W42" s="4">
        <v>2980.4101999999998</v>
      </c>
      <c r="X42" s="4">
        <v>20223.688200000001</v>
      </c>
      <c r="Y42" s="4">
        <v>19408.571599999999</v>
      </c>
      <c r="Z42" s="4">
        <v>815.11649999999997</v>
      </c>
      <c r="AA42" s="4">
        <v>1915.1818000000001</v>
      </c>
    </row>
    <row r="43" spans="1:27" x14ac:dyDescent="0.2">
      <c r="A43" s="3">
        <v>41153</v>
      </c>
      <c r="B43" s="4">
        <v>24790.18</v>
      </c>
      <c r="C43" s="4">
        <v>1147.2212</v>
      </c>
      <c r="D43" s="4">
        <v>310.61869999999999</v>
      </c>
      <c r="E43" s="4">
        <v>836.60249999999996</v>
      </c>
      <c r="F43" s="5">
        <v>15259.1109</v>
      </c>
      <c r="G43" s="4">
        <v>4.0340999999999996</v>
      </c>
      <c r="H43" s="4">
        <v>15255.076800000001</v>
      </c>
      <c r="I43" s="4">
        <v>64.6417</v>
      </c>
      <c r="J43" s="5">
        <v>4009.6102999999998</v>
      </c>
      <c r="K43" s="4">
        <v>4009.6102999999998</v>
      </c>
      <c r="L43" s="4">
        <v>2252.0513999999998</v>
      </c>
      <c r="M43" s="4">
        <v>560.38109999999995</v>
      </c>
      <c r="N43" s="4">
        <v>154.78749999999999</v>
      </c>
      <c r="O43" s="4">
        <v>1536.8828000000001</v>
      </c>
      <c r="P43" s="4">
        <v>2057.5444000000002</v>
      </c>
      <c r="Q43" s="4">
        <v>-843.56100000000004</v>
      </c>
      <c r="R43" s="4">
        <v>25633.741000000002</v>
      </c>
      <c r="S43" s="4">
        <v>263.7749</v>
      </c>
      <c r="T43" s="4">
        <v>190.07660000000001</v>
      </c>
      <c r="U43" s="4">
        <v>73.698300000000003</v>
      </c>
      <c r="V43" s="4">
        <v>3150.2851000000001</v>
      </c>
      <c r="W43" s="4">
        <v>3150.2851000000001</v>
      </c>
      <c r="X43" s="4">
        <v>20503.506700000002</v>
      </c>
      <c r="Y43" s="4">
        <v>19698.194899999999</v>
      </c>
      <c r="Z43" s="4">
        <v>805.31179999999995</v>
      </c>
      <c r="AA43" s="4">
        <v>1716.1741999999999</v>
      </c>
    </row>
    <row r="44" spans="1:27" x14ac:dyDescent="0.2">
      <c r="A44" s="3">
        <v>41244</v>
      </c>
      <c r="B44" s="4">
        <v>25384.548500000001</v>
      </c>
      <c r="C44" s="4">
        <v>1152.7001</v>
      </c>
      <c r="D44" s="4">
        <v>297.41829999999999</v>
      </c>
      <c r="E44" s="4">
        <v>855.28179999999998</v>
      </c>
      <c r="F44" s="5">
        <v>15609.598099999999</v>
      </c>
      <c r="G44" s="4">
        <v>7.4257</v>
      </c>
      <c r="H44" s="4">
        <v>15602.172399999999</v>
      </c>
      <c r="I44" s="4">
        <v>59.817599999999999</v>
      </c>
      <c r="J44" s="5">
        <v>4132.0950000000003</v>
      </c>
      <c r="K44" s="4">
        <v>4132.0950000000003</v>
      </c>
      <c r="L44" s="4">
        <v>2235.9488999999999</v>
      </c>
      <c r="M44" s="4">
        <v>645.58709999999996</v>
      </c>
      <c r="N44" s="4">
        <v>129.7927</v>
      </c>
      <c r="O44" s="4">
        <v>1460.569</v>
      </c>
      <c r="P44" s="4">
        <v>2194.3888000000002</v>
      </c>
      <c r="Q44" s="4">
        <v>-970.74120000000005</v>
      </c>
      <c r="R44" s="4">
        <v>26355.289799999999</v>
      </c>
      <c r="S44" s="4">
        <v>313.24110000000002</v>
      </c>
      <c r="T44" s="4">
        <v>226.40379999999999</v>
      </c>
      <c r="U44" s="4">
        <v>86.837299999999999</v>
      </c>
      <c r="V44" s="4">
        <v>3239.6188000000002</v>
      </c>
      <c r="W44" s="4">
        <v>3239.6188000000002</v>
      </c>
      <c r="X44" s="4">
        <v>21059.088400000001</v>
      </c>
      <c r="Y44" s="4">
        <v>20242.813900000001</v>
      </c>
      <c r="Z44" s="4">
        <v>816.27449999999999</v>
      </c>
      <c r="AA44" s="4">
        <v>1743.3415</v>
      </c>
    </row>
    <row r="45" spans="1:27" x14ac:dyDescent="0.2">
      <c r="A45" s="3">
        <v>41334</v>
      </c>
      <c r="B45" s="4">
        <v>25722.7366</v>
      </c>
      <c r="C45" s="4">
        <v>1150.6311000000001</v>
      </c>
      <c r="D45" s="4">
        <v>329.08580000000001</v>
      </c>
      <c r="E45" s="4">
        <v>821.5453</v>
      </c>
      <c r="F45" s="5">
        <v>15789.335300000001</v>
      </c>
      <c r="G45" s="4">
        <v>55.818899999999999</v>
      </c>
      <c r="H45" s="4">
        <v>15733.516299999999</v>
      </c>
      <c r="I45" s="4">
        <v>24.427600000000002</v>
      </c>
      <c r="J45" s="5">
        <v>4290.2795999999998</v>
      </c>
      <c r="K45" s="4">
        <v>4290.2795999999998</v>
      </c>
      <c r="L45" s="4">
        <v>2379.3474000000001</v>
      </c>
      <c r="M45" s="4">
        <v>679.81320000000005</v>
      </c>
      <c r="N45" s="4">
        <v>165.2139</v>
      </c>
      <c r="O45" s="4">
        <v>1534.3203000000001</v>
      </c>
      <c r="P45" s="4">
        <v>2088.7157000000002</v>
      </c>
      <c r="Q45" s="4">
        <v>-990.92830000000004</v>
      </c>
      <c r="R45" s="4">
        <v>26713.6649</v>
      </c>
      <c r="S45" s="4">
        <v>279.16800000000001</v>
      </c>
      <c r="T45" s="4">
        <v>202.25880000000001</v>
      </c>
      <c r="U45" s="4">
        <v>76.909199999999998</v>
      </c>
      <c r="V45" s="4">
        <v>3347.8681999999999</v>
      </c>
      <c r="W45" s="4">
        <v>3347.8681999999999</v>
      </c>
      <c r="X45" s="4">
        <v>21472.760300000002</v>
      </c>
      <c r="Y45" s="4">
        <v>20642.041700000002</v>
      </c>
      <c r="Z45" s="4">
        <v>830.71849999999995</v>
      </c>
      <c r="AA45" s="4">
        <v>1613.8684000000001</v>
      </c>
    </row>
    <row r="46" spans="1:27" x14ac:dyDescent="0.2">
      <c r="A46" s="3">
        <v>41426</v>
      </c>
      <c r="B46" s="4">
        <v>26114.261299999998</v>
      </c>
      <c r="C46" s="4">
        <v>1205.0916999999999</v>
      </c>
      <c r="D46" s="4">
        <v>313.92649999999998</v>
      </c>
      <c r="E46" s="4">
        <v>891.16520000000003</v>
      </c>
      <c r="F46" s="5">
        <v>16108.73</v>
      </c>
      <c r="G46" s="4">
        <v>28.767099999999999</v>
      </c>
      <c r="H46" s="4">
        <v>16079.963</v>
      </c>
      <c r="I46" s="4">
        <v>58.021099999999997</v>
      </c>
      <c r="J46" s="5">
        <v>4465.7928000000002</v>
      </c>
      <c r="K46" s="4">
        <v>4465.7928000000002</v>
      </c>
      <c r="L46" s="4">
        <v>2342.1680000000001</v>
      </c>
      <c r="M46" s="4">
        <v>600.18799999999999</v>
      </c>
      <c r="N46" s="4">
        <v>167.95580000000001</v>
      </c>
      <c r="O46" s="4">
        <v>1574.0242000000001</v>
      </c>
      <c r="P46" s="4">
        <v>1934.4576999999999</v>
      </c>
      <c r="Q46" s="4">
        <v>-915.04650000000004</v>
      </c>
      <c r="R46" s="4">
        <v>27029.3079</v>
      </c>
      <c r="S46" s="4">
        <v>403.30770000000001</v>
      </c>
      <c r="T46" s="4">
        <v>293.65660000000003</v>
      </c>
      <c r="U46" s="4">
        <v>109.6511</v>
      </c>
      <c r="V46" s="4">
        <v>3271.1583000000001</v>
      </c>
      <c r="W46" s="4">
        <v>3271.1583000000001</v>
      </c>
      <c r="X46" s="4">
        <v>21884.782200000001</v>
      </c>
      <c r="Y46" s="4">
        <v>21026.911</v>
      </c>
      <c r="Z46" s="4">
        <v>857.87120000000004</v>
      </c>
      <c r="AA46" s="4">
        <v>1470.0596</v>
      </c>
    </row>
    <row r="47" spans="1:27" x14ac:dyDescent="0.2">
      <c r="A47" s="3">
        <v>41518</v>
      </c>
      <c r="B47" s="4">
        <v>26552.787100000001</v>
      </c>
      <c r="C47" s="4">
        <v>1189.8275000000001</v>
      </c>
      <c r="D47" s="4">
        <v>271.71570000000003</v>
      </c>
      <c r="E47" s="4">
        <v>918.11180000000002</v>
      </c>
      <c r="F47" s="5">
        <v>16410.262900000002</v>
      </c>
      <c r="G47" s="4">
        <v>8.0447000000000006</v>
      </c>
      <c r="H47" s="4">
        <v>16402.2183</v>
      </c>
      <c r="I47" s="4">
        <v>78.109399999999994</v>
      </c>
      <c r="J47" s="5">
        <v>4655.4139999999998</v>
      </c>
      <c r="K47" s="4">
        <v>4655.4139999999998</v>
      </c>
      <c r="L47" s="4">
        <v>2253.1131</v>
      </c>
      <c r="M47" s="4">
        <v>606.34059999999999</v>
      </c>
      <c r="N47" s="4">
        <v>113.68770000000001</v>
      </c>
      <c r="O47" s="4">
        <v>1533.0848000000001</v>
      </c>
      <c r="P47" s="4">
        <v>1966.0601999999999</v>
      </c>
      <c r="Q47" s="4">
        <v>-1050.8117999999999</v>
      </c>
      <c r="R47" s="4">
        <v>27603.598900000001</v>
      </c>
      <c r="S47" s="4">
        <v>365.3596</v>
      </c>
      <c r="T47" s="4">
        <v>266.05</v>
      </c>
      <c r="U47" s="4">
        <v>99.309600000000003</v>
      </c>
      <c r="V47" s="4">
        <v>3290.6432</v>
      </c>
      <c r="W47" s="4">
        <v>3290.6432</v>
      </c>
      <c r="X47" s="4">
        <v>22492.473699999999</v>
      </c>
      <c r="Y47" s="4">
        <v>21606.901699999999</v>
      </c>
      <c r="Z47" s="4">
        <v>885.572</v>
      </c>
      <c r="AA47" s="4">
        <v>1455.1223</v>
      </c>
    </row>
    <row r="48" spans="1:27" x14ac:dyDescent="0.2">
      <c r="A48" s="3">
        <v>41609</v>
      </c>
      <c r="B48" s="4">
        <v>27289.796999999999</v>
      </c>
      <c r="C48" s="4">
        <v>1273.9010000000001</v>
      </c>
      <c r="D48" s="4">
        <v>283.15379999999999</v>
      </c>
      <c r="E48" s="4">
        <v>990.74720000000002</v>
      </c>
      <c r="F48" s="5">
        <v>16570.119900000002</v>
      </c>
      <c r="G48" s="4">
        <v>42.7834</v>
      </c>
      <c r="H48" s="4">
        <v>16527.336500000001</v>
      </c>
      <c r="I48" s="4">
        <v>68.385000000000005</v>
      </c>
      <c r="J48" s="5">
        <v>4854.3549000000003</v>
      </c>
      <c r="K48" s="4">
        <v>4854.3549000000003</v>
      </c>
      <c r="L48" s="4">
        <v>2320.2696000000001</v>
      </c>
      <c r="M48" s="4">
        <v>606.42150000000004</v>
      </c>
      <c r="N48" s="4">
        <v>85.226100000000002</v>
      </c>
      <c r="O48" s="4">
        <v>1628.6221</v>
      </c>
      <c r="P48" s="4">
        <v>2202.7665000000002</v>
      </c>
      <c r="Q48" s="4">
        <v>-1143.1872000000001</v>
      </c>
      <c r="R48" s="4">
        <v>28432.984199999999</v>
      </c>
      <c r="S48" s="4">
        <v>429.50189999999998</v>
      </c>
      <c r="T48" s="4">
        <v>313.98149999999998</v>
      </c>
      <c r="U48" s="4">
        <v>115.5204</v>
      </c>
      <c r="V48" s="4">
        <v>3334.4454999999998</v>
      </c>
      <c r="W48" s="4">
        <v>3334.4454999999998</v>
      </c>
      <c r="X48" s="4">
        <v>23112.006300000001</v>
      </c>
      <c r="Y48" s="4">
        <v>22206.082299999998</v>
      </c>
      <c r="Z48" s="4">
        <v>905.92409999999995</v>
      </c>
      <c r="AA48" s="4">
        <v>1557.0305000000001</v>
      </c>
    </row>
    <row r="49" spans="1:27" x14ac:dyDescent="0.2">
      <c r="A49" s="3">
        <v>41699</v>
      </c>
      <c r="B49" s="4">
        <v>28246.664499999999</v>
      </c>
      <c r="C49" s="4">
        <v>1256.0277000000001</v>
      </c>
      <c r="D49" s="4">
        <v>253.85499999999999</v>
      </c>
      <c r="E49" s="4">
        <v>1002.1728000000001</v>
      </c>
      <c r="F49" s="5">
        <v>17116.335200000001</v>
      </c>
      <c r="G49" s="4">
        <v>38.401600000000002</v>
      </c>
      <c r="H49" s="4">
        <v>17077.9336</v>
      </c>
      <c r="I49" s="4">
        <v>58.938000000000002</v>
      </c>
      <c r="J49" s="5">
        <v>5037.8710000000001</v>
      </c>
      <c r="K49" s="4">
        <v>5037.8710000000001</v>
      </c>
      <c r="L49" s="4">
        <v>2668.739</v>
      </c>
      <c r="M49" s="4">
        <v>711.24630000000002</v>
      </c>
      <c r="N49" s="4">
        <v>129.8356</v>
      </c>
      <c r="O49" s="4">
        <v>1827.6572000000001</v>
      </c>
      <c r="P49" s="4">
        <v>2108.7536</v>
      </c>
      <c r="Q49" s="4">
        <v>-1021.2332</v>
      </c>
      <c r="R49" s="4">
        <v>29267.897700000001</v>
      </c>
      <c r="S49" s="4">
        <v>390.20929999999998</v>
      </c>
      <c r="T49" s="4">
        <v>285.29289999999997</v>
      </c>
      <c r="U49" s="4">
        <v>104.9164</v>
      </c>
      <c r="V49" s="4">
        <v>3491.3791999999999</v>
      </c>
      <c r="W49" s="4">
        <v>3491.3791999999999</v>
      </c>
      <c r="X49" s="4">
        <v>23783.036899999999</v>
      </c>
      <c r="Y49" s="4">
        <v>22839.368699999999</v>
      </c>
      <c r="Z49" s="4">
        <v>943.66819999999996</v>
      </c>
      <c r="AA49" s="4">
        <v>1603.2723000000001</v>
      </c>
    </row>
    <row r="50" spans="1:27" x14ac:dyDescent="0.2">
      <c r="A50" s="3">
        <v>41791</v>
      </c>
      <c r="B50" s="4">
        <v>29224.106100000001</v>
      </c>
      <c r="C50" s="4">
        <v>1280.0826</v>
      </c>
      <c r="D50" s="4">
        <v>301.56130000000002</v>
      </c>
      <c r="E50" s="4">
        <v>978.52120000000002</v>
      </c>
      <c r="F50" s="5">
        <v>17882.979200000002</v>
      </c>
      <c r="G50" s="4">
        <v>41.7958</v>
      </c>
      <c r="H50" s="4">
        <v>17841.183400000002</v>
      </c>
      <c r="I50" s="4">
        <v>49.565399999999997</v>
      </c>
      <c r="J50" s="5">
        <v>5250.7524000000003</v>
      </c>
      <c r="K50" s="4">
        <v>5250.7524000000003</v>
      </c>
      <c r="L50" s="4">
        <v>2747.0403999999999</v>
      </c>
      <c r="M50" s="4">
        <v>680.65089999999998</v>
      </c>
      <c r="N50" s="4">
        <v>131.22149999999999</v>
      </c>
      <c r="O50" s="4">
        <v>1935.1679999999999</v>
      </c>
      <c r="P50" s="4">
        <v>2013.6863000000001</v>
      </c>
      <c r="Q50" s="4">
        <v>-905.35040000000004</v>
      </c>
      <c r="R50" s="4">
        <v>30129.4565</v>
      </c>
      <c r="S50" s="4">
        <v>326.20249999999999</v>
      </c>
      <c r="T50" s="4">
        <v>238.4614</v>
      </c>
      <c r="U50" s="4">
        <v>87.741100000000003</v>
      </c>
      <c r="V50" s="4">
        <v>3572.5603999999998</v>
      </c>
      <c r="W50" s="4">
        <v>3572.5603999999998</v>
      </c>
      <c r="X50" s="4">
        <v>24695.808099999998</v>
      </c>
      <c r="Y50" s="4">
        <v>23698.643100000001</v>
      </c>
      <c r="Z50" s="4">
        <v>997.16499999999996</v>
      </c>
      <c r="AA50" s="4">
        <v>1534.8856000000001</v>
      </c>
    </row>
    <row r="51" spans="1:27" x14ac:dyDescent="0.2">
      <c r="A51" s="3">
        <v>41883</v>
      </c>
      <c r="B51" s="4">
        <v>30595.8609</v>
      </c>
      <c r="C51" s="4">
        <v>1166.7248</v>
      </c>
      <c r="D51" s="4">
        <v>240.86619999999999</v>
      </c>
      <c r="E51" s="4">
        <v>925.85860000000002</v>
      </c>
      <c r="F51" s="5">
        <v>18663.805</v>
      </c>
      <c r="G51" s="4">
        <v>44.1691</v>
      </c>
      <c r="H51" s="4">
        <v>18619.635900000001</v>
      </c>
      <c r="I51" s="4">
        <v>73.881799999999998</v>
      </c>
      <c r="J51" s="5">
        <v>5551.9591</v>
      </c>
      <c r="K51" s="4">
        <v>5551.9591</v>
      </c>
      <c r="L51" s="4">
        <v>2867.1871999999998</v>
      </c>
      <c r="M51" s="4">
        <v>647.9787</v>
      </c>
      <c r="N51" s="4">
        <v>105.9563</v>
      </c>
      <c r="O51" s="4">
        <v>2113.2521999999999</v>
      </c>
      <c r="P51" s="4">
        <v>2272.3031000000001</v>
      </c>
      <c r="Q51" s="4">
        <v>-767.56309999999996</v>
      </c>
      <c r="R51" s="4">
        <v>31363.423999999999</v>
      </c>
      <c r="S51" s="4">
        <v>622.3451</v>
      </c>
      <c r="T51" s="4">
        <v>455.09370000000001</v>
      </c>
      <c r="U51" s="4">
        <v>167.25139999999999</v>
      </c>
      <c r="V51" s="4">
        <v>3644.6482000000001</v>
      </c>
      <c r="W51" s="4">
        <v>3644.6482000000001</v>
      </c>
      <c r="X51" s="4">
        <v>25347.9781</v>
      </c>
      <c r="Y51" s="4">
        <v>24324.7621</v>
      </c>
      <c r="Z51" s="4">
        <v>1023.216</v>
      </c>
      <c r="AA51" s="4">
        <v>1748.4526000000001</v>
      </c>
    </row>
    <row r="52" spans="1:27" x14ac:dyDescent="0.2">
      <c r="A52" s="3">
        <v>41974</v>
      </c>
      <c r="B52" s="4">
        <v>31567.950799999999</v>
      </c>
      <c r="C52" s="4">
        <v>1294.4447</v>
      </c>
      <c r="D52" s="4">
        <v>255.65369999999999</v>
      </c>
      <c r="E52" s="4">
        <v>1038.7910999999999</v>
      </c>
      <c r="F52" s="5">
        <v>19004.7857</v>
      </c>
      <c r="G52" s="4">
        <v>33.0777</v>
      </c>
      <c r="H52" s="4">
        <v>18971.707999999999</v>
      </c>
      <c r="I52" s="4">
        <v>96.344499999999996</v>
      </c>
      <c r="J52" s="5">
        <v>5763.0883000000003</v>
      </c>
      <c r="K52" s="4">
        <v>5763.0883000000003</v>
      </c>
      <c r="L52" s="4">
        <v>2906.4160000000002</v>
      </c>
      <c r="M52" s="4">
        <v>621.54300000000001</v>
      </c>
      <c r="N52" s="4">
        <v>100.4096</v>
      </c>
      <c r="O52" s="4">
        <v>2184.4634000000001</v>
      </c>
      <c r="P52" s="4">
        <v>2502.8715000000002</v>
      </c>
      <c r="Q52" s="4">
        <v>-824.68039999999996</v>
      </c>
      <c r="R52" s="4">
        <v>32392.631099999999</v>
      </c>
      <c r="S52" s="4">
        <v>561.30709999999999</v>
      </c>
      <c r="T52" s="4">
        <v>410.2235</v>
      </c>
      <c r="U52" s="4">
        <v>151.08359999999999</v>
      </c>
      <c r="V52" s="4">
        <v>3657.4947000000002</v>
      </c>
      <c r="W52" s="4">
        <v>3657.4947000000002</v>
      </c>
      <c r="X52" s="4">
        <v>26266.724999999999</v>
      </c>
      <c r="Y52" s="4">
        <v>25209.894199999999</v>
      </c>
      <c r="Z52" s="4">
        <v>1056.8308</v>
      </c>
      <c r="AA52" s="4">
        <v>1907.1043</v>
      </c>
    </row>
    <row r="53" spans="1:27" x14ac:dyDescent="0.2">
      <c r="A53" s="3">
        <v>42064</v>
      </c>
      <c r="B53" s="4">
        <v>32599.035800000001</v>
      </c>
      <c r="C53" s="4">
        <v>1324.4811999999999</v>
      </c>
      <c r="D53" s="4">
        <v>276.07659999999998</v>
      </c>
      <c r="E53" s="4">
        <v>1048.4046000000001</v>
      </c>
      <c r="F53" s="5">
        <v>19615.252700000001</v>
      </c>
      <c r="G53" s="4">
        <v>36.498100000000001</v>
      </c>
      <c r="H53" s="4">
        <v>19578.7546</v>
      </c>
      <c r="I53" s="4">
        <v>107.0754</v>
      </c>
      <c r="J53" s="5">
        <v>5866.5826999999999</v>
      </c>
      <c r="K53" s="4">
        <v>5866.5826999999999</v>
      </c>
      <c r="L53" s="4">
        <v>3095.4020999999998</v>
      </c>
      <c r="M53" s="4">
        <v>658.07590000000005</v>
      </c>
      <c r="N53" s="4">
        <v>120.62649999999999</v>
      </c>
      <c r="O53" s="4">
        <v>2316.6997000000001</v>
      </c>
      <c r="P53" s="4">
        <v>2590.2417</v>
      </c>
      <c r="Q53" s="4">
        <v>-483.64339999999999</v>
      </c>
      <c r="R53" s="4">
        <v>33082.679199999999</v>
      </c>
      <c r="S53" s="4">
        <v>580.19200000000001</v>
      </c>
      <c r="T53" s="4">
        <v>426.14780000000002</v>
      </c>
      <c r="U53" s="4">
        <v>154.04419999999999</v>
      </c>
      <c r="V53" s="4">
        <v>3748.1644999999999</v>
      </c>
      <c r="W53" s="4">
        <v>3748.1644999999999</v>
      </c>
      <c r="X53" s="4">
        <v>26726.09</v>
      </c>
      <c r="Y53" s="4">
        <v>25661.43</v>
      </c>
      <c r="Z53" s="4">
        <v>1064.6600000000001</v>
      </c>
      <c r="AA53" s="4">
        <v>2028.2327</v>
      </c>
    </row>
    <row r="54" spans="1:27" x14ac:dyDescent="0.2">
      <c r="A54" s="3">
        <v>42156</v>
      </c>
      <c r="B54" s="4">
        <v>33458.482799999998</v>
      </c>
      <c r="C54" s="4">
        <v>1389.9463000000001</v>
      </c>
      <c r="D54" s="4">
        <v>284.57569999999998</v>
      </c>
      <c r="E54" s="4">
        <v>1105.3706999999999</v>
      </c>
      <c r="F54" s="5">
        <v>20075.973699999999</v>
      </c>
      <c r="G54" s="4">
        <v>32.506399999999999</v>
      </c>
      <c r="H54" s="4">
        <v>20043.4673</v>
      </c>
      <c r="I54" s="4">
        <v>128.49529999999999</v>
      </c>
      <c r="J54" s="5">
        <v>6023.5616</v>
      </c>
      <c r="K54" s="4">
        <v>6023.5616</v>
      </c>
      <c r="L54" s="4">
        <v>3175.4969000000001</v>
      </c>
      <c r="M54" s="4">
        <v>635.53150000000005</v>
      </c>
      <c r="N54" s="4">
        <v>110.889</v>
      </c>
      <c r="O54" s="4">
        <v>2429.0763999999999</v>
      </c>
      <c r="P54" s="4">
        <v>2665.0088999999998</v>
      </c>
      <c r="Q54" s="4">
        <v>-749.64819999999997</v>
      </c>
      <c r="R54" s="4">
        <v>34208.131000000001</v>
      </c>
      <c r="S54" s="4">
        <v>622.61199999999997</v>
      </c>
      <c r="T54" s="4">
        <v>456.92790000000002</v>
      </c>
      <c r="U54" s="4">
        <v>165.6841</v>
      </c>
      <c r="V54" s="4">
        <v>3779.7166999999999</v>
      </c>
      <c r="W54" s="4">
        <v>3779.7166999999999</v>
      </c>
      <c r="X54" s="4">
        <v>27745.198199999999</v>
      </c>
      <c r="Y54" s="4">
        <v>26633.811799999999</v>
      </c>
      <c r="Z54" s="4">
        <v>1111.3864000000001</v>
      </c>
      <c r="AA54" s="4">
        <v>2060.6041</v>
      </c>
    </row>
    <row r="55" spans="1:27" x14ac:dyDescent="0.2">
      <c r="A55" s="3">
        <v>42248</v>
      </c>
      <c r="B55" s="4">
        <v>34878.314400000003</v>
      </c>
      <c r="C55" s="4">
        <v>1473.3848</v>
      </c>
      <c r="D55" s="4">
        <v>298.92520000000002</v>
      </c>
      <c r="E55" s="4">
        <v>1174.4595999999999</v>
      </c>
      <c r="F55" s="5">
        <v>21028.711299999999</v>
      </c>
      <c r="G55" s="4">
        <v>39.846299999999999</v>
      </c>
      <c r="H55" s="4">
        <v>20988.865000000002</v>
      </c>
      <c r="I55" s="4">
        <v>113.9405</v>
      </c>
      <c r="J55" s="5">
        <v>6267.1732000000002</v>
      </c>
      <c r="K55" s="4">
        <v>6267.1732000000002</v>
      </c>
      <c r="L55" s="4">
        <v>3196.8919999999998</v>
      </c>
      <c r="M55" s="4">
        <v>558.65520000000004</v>
      </c>
      <c r="N55" s="4">
        <v>88.141499999999994</v>
      </c>
      <c r="O55" s="4">
        <v>2550.0953</v>
      </c>
      <c r="P55" s="4">
        <v>2798.2125999999998</v>
      </c>
      <c r="Q55" s="4">
        <v>-795.12990000000002</v>
      </c>
      <c r="R55" s="4">
        <v>35673.444199999998</v>
      </c>
      <c r="S55" s="4">
        <v>779.92110000000002</v>
      </c>
      <c r="T55" s="4">
        <v>574.08339999999998</v>
      </c>
      <c r="U55" s="4">
        <v>205.83770000000001</v>
      </c>
      <c r="V55" s="4">
        <v>3867.7570000000001</v>
      </c>
      <c r="W55" s="4">
        <v>3867.7570000000001</v>
      </c>
      <c r="X55" s="4">
        <v>28727.294399999999</v>
      </c>
      <c r="Y55" s="4">
        <v>27570.669099999999</v>
      </c>
      <c r="Z55" s="4">
        <v>1156.6252999999999</v>
      </c>
      <c r="AA55" s="4">
        <v>2298.4717000000001</v>
      </c>
    </row>
    <row r="56" spans="1:27" x14ac:dyDescent="0.2">
      <c r="A56" s="3">
        <v>42339</v>
      </c>
      <c r="B56" s="4">
        <v>35569.003900000003</v>
      </c>
      <c r="C56" s="4">
        <v>1418.306</v>
      </c>
      <c r="D56" s="4">
        <v>301.25990000000002</v>
      </c>
      <c r="E56" s="4">
        <v>1117.0461</v>
      </c>
      <c r="F56" s="5">
        <v>21254.514299999999</v>
      </c>
      <c r="G56" s="4">
        <v>42.700600000000001</v>
      </c>
      <c r="H56" s="4">
        <v>21211.813600000001</v>
      </c>
      <c r="I56" s="4">
        <v>173.51</v>
      </c>
      <c r="J56" s="5">
        <v>6509.5959000000003</v>
      </c>
      <c r="K56" s="4">
        <v>6509.5959000000003</v>
      </c>
      <c r="L56" s="4">
        <v>3384.2087999999999</v>
      </c>
      <c r="M56" s="4">
        <v>586.87</v>
      </c>
      <c r="N56" s="4">
        <v>72.204999999999998</v>
      </c>
      <c r="O56" s="4">
        <v>2725.1338999999998</v>
      </c>
      <c r="P56" s="4">
        <v>2828.8690000000001</v>
      </c>
      <c r="Q56" s="4">
        <v>-1107.7832000000001</v>
      </c>
      <c r="R56" s="4">
        <v>36676.787100000001</v>
      </c>
      <c r="S56" s="4">
        <v>847.19169999999997</v>
      </c>
      <c r="T56" s="4">
        <v>622.24249999999995</v>
      </c>
      <c r="U56" s="4">
        <v>224.94919999999999</v>
      </c>
      <c r="V56" s="4">
        <v>4008.3188</v>
      </c>
      <c r="W56" s="4">
        <v>4008.3188</v>
      </c>
      <c r="X56" s="4">
        <v>29599.410599999999</v>
      </c>
      <c r="Y56" s="4">
        <v>28447.906999999999</v>
      </c>
      <c r="Z56" s="4">
        <v>1151.5035</v>
      </c>
      <c r="AA56" s="4">
        <v>2221.8661000000002</v>
      </c>
    </row>
    <row r="57" spans="1:27" x14ac:dyDescent="0.2">
      <c r="A57" s="3">
        <v>42430</v>
      </c>
      <c r="B57" s="4">
        <v>36217.638599999998</v>
      </c>
      <c r="C57" s="4">
        <v>1426.8561</v>
      </c>
      <c r="D57" s="4">
        <v>347.05549999999999</v>
      </c>
      <c r="E57" s="4">
        <v>1079.8006</v>
      </c>
      <c r="F57" s="5">
        <v>21669.364699999998</v>
      </c>
      <c r="G57" s="4">
        <v>85.054299999999998</v>
      </c>
      <c r="H57" s="4">
        <v>21584.310399999998</v>
      </c>
      <c r="I57" s="4">
        <v>86.199200000000005</v>
      </c>
      <c r="J57" s="5">
        <v>6675.4776000000002</v>
      </c>
      <c r="K57" s="4">
        <v>6675.4776000000002</v>
      </c>
      <c r="L57" s="4">
        <v>3595.0781000000002</v>
      </c>
      <c r="M57" s="4">
        <v>611.78359999999998</v>
      </c>
      <c r="N57" s="4">
        <v>111.37439999999999</v>
      </c>
      <c r="O57" s="4">
        <v>2871.9202</v>
      </c>
      <c r="P57" s="4">
        <v>2764.6628000000001</v>
      </c>
      <c r="Q57" s="4">
        <v>-859.12969999999996</v>
      </c>
      <c r="R57" s="4">
        <v>37076.768300000003</v>
      </c>
      <c r="S57" s="4">
        <v>479.42230000000001</v>
      </c>
      <c r="T57" s="4">
        <v>352.12779999999998</v>
      </c>
      <c r="U57" s="4">
        <v>127.2945</v>
      </c>
      <c r="V57" s="4">
        <v>4158.2848000000004</v>
      </c>
      <c r="W57" s="4">
        <v>4158.2848000000004</v>
      </c>
      <c r="X57" s="4">
        <v>30293.1963</v>
      </c>
      <c r="Y57" s="4">
        <v>29171.807700000001</v>
      </c>
      <c r="Z57" s="4">
        <v>1121.3886</v>
      </c>
      <c r="AA57" s="4">
        <v>2145.8647999999998</v>
      </c>
    </row>
    <row r="58" spans="1:27" x14ac:dyDescent="0.2">
      <c r="A58" s="3">
        <v>42522</v>
      </c>
      <c r="B58" s="4">
        <v>37146.508900000001</v>
      </c>
      <c r="C58" s="4">
        <v>1630.6995999999999</v>
      </c>
      <c r="D58" s="4">
        <v>335.61529999999999</v>
      </c>
      <c r="E58" s="4">
        <v>1295.0843</v>
      </c>
      <c r="F58" s="5">
        <v>22064.7058</v>
      </c>
      <c r="G58" s="4">
        <v>79.505099999999999</v>
      </c>
      <c r="H58" s="4">
        <v>21985.200700000001</v>
      </c>
      <c r="I58" s="4">
        <v>153.6918</v>
      </c>
      <c r="J58" s="5">
        <v>6818.2406000000001</v>
      </c>
      <c r="K58" s="4">
        <v>6818.2406000000001</v>
      </c>
      <c r="L58" s="4">
        <v>3718.8921</v>
      </c>
      <c r="M58" s="4">
        <v>604.82119999999998</v>
      </c>
      <c r="N58" s="4">
        <v>90.528899999999993</v>
      </c>
      <c r="O58" s="4">
        <v>3023.5419999999999</v>
      </c>
      <c r="P58" s="4">
        <v>2760.2791000000002</v>
      </c>
      <c r="Q58" s="4">
        <v>-774.3723</v>
      </c>
      <c r="R58" s="4">
        <v>37920.881200000003</v>
      </c>
      <c r="S58" s="4">
        <v>437.88900000000001</v>
      </c>
      <c r="T58" s="4">
        <v>319.04559999999998</v>
      </c>
      <c r="U58" s="4">
        <v>118.8434</v>
      </c>
      <c r="V58" s="4">
        <v>4186.5099</v>
      </c>
      <c r="W58" s="4">
        <v>4186.5099</v>
      </c>
      <c r="X58" s="4">
        <v>31278.9601</v>
      </c>
      <c r="Y58" s="4">
        <v>30133.604599999999</v>
      </c>
      <c r="Z58" s="4">
        <v>1145.3554999999999</v>
      </c>
      <c r="AA58" s="4">
        <v>2017.5222000000001</v>
      </c>
    </row>
    <row r="59" spans="1:27" x14ac:dyDescent="0.2">
      <c r="A59" s="3">
        <v>42614</v>
      </c>
      <c r="B59" s="4">
        <v>38649.457399999999</v>
      </c>
      <c r="C59" s="4">
        <v>1458.7150999999999</v>
      </c>
      <c r="D59" s="4">
        <v>312.46429999999998</v>
      </c>
      <c r="E59" s="4">
        <v>1146.2509</v>
      </c>
      <c r="F59" s="5">
        <v>23537.7817</v>
      </c>
      <c r="G59" s="4">
        <v>84.148700000000005</v>
      </c>
      <c r="H59" s="4">
        <v>23453.633000000002</v>
      </c>
      <c r="I59" s="4">
        <v>150.32749999999999</v>
      </c>
      <c r="J59" s="5">
        <v>6956.8609999999999</v>
      </c>
      <c r="K59" s="4">
        <v>6956.8609999999999</v>
      </c>
      <c r="L59" s="4">
        <v>3888.2728000000002</v>
      </c>
      <c r="M59" s="4">
        <v>658.79809999999998</v>
      </c>
      <c r="N59" s="4">
        <v>69.424000000000007</v>
      </c>
      <c r="O59" s="4">
        <v>3160.0506999999998</v>
      </c>
      <c r="P59" s="4">
        <v>2657.4992000000002</v>
      </c>
      <c r="Q59" s="4">
        <v>-389.72559999999999</v>
      </c>
      <c r="R59" s="4">
        <v>39039.1829</v>
      </c>
      <c r="S59" s="4">
        <v>538.62890000000004</v>
      </c>
      <c r="T59" s="4">
        <v>393.5831</v>
      </c>
      <c r="U59" s="4">
        <v>145.04580000000001</v>
      </c>
      <c r="V59" s="4">
        <v>4321.8401000000003</v>
      </c>
      <c r="W59" s="4">
        <v>4321.8401000000003</v>
      </c>
      <c r="X59" s="4">
        <v>32179.61</v>
      </c>
      <c r="Y59" s="4">
        <v>31024.8501</v>
      </c>
      <c r="Z59" s="4">
        <v>1154.7599</v>
      </c>
      <c r="AA59" s="4">
        <v>1999.1039000000001</v>
      </c>
    </row>
    <row r="60" spans="1:27" x14ac:dyDescent="0.2">
      <c r="A60" s="3">
        <v>42705</v>
      </c>
      <c r="B60" s="4">
        <v>38920.736100000002</v>
      </c>
      <c r="C60" s="4">
        <v>1474.9909</v>
      </c>
      <c r="D60" s="4">
        <v>318.97890000000001</v>
      </c>
      <c r="E60" s="4">
        <v>1156.0119999999999</v>
      </c>
      <c r="F60" s="5">
        <v>23604.296999999999</v>
      </c>
      <c r="G60" s="4">
        <v>75.192099999999996</v>
      </c>
      <c r="H60" s="4">
        <v>23529.104899999998</v>
      </c>
      <c r="I60" s="4">
        <v>177.79650000000001</v>
      </c>
      <c r="J60" s="5">
        <v>7170.1893</v>
      </c>
      <c r="K60" s="4">
        <v>7170.1893</v>
      </c>
      <c r="L60" s="4">
        <v>3876.7238000000002</v>
      </c>
      <c r="M60" s="4">
        <v>649.74710000000005</v>
      </c>
      <c r="N60" s="4">
        <v>121.19</v>
      </c>
      <c r="O60" s="4">
        <v>3105.7867000000001</v>
      </c>
      <c r="P60" s="4">
        <v>2616.7386999999999</v>
      </c>
      <c r="Q60" s="4">
        <v>-1028.5975000000001</v>
      </c>
      <c r="R60" s="4">
        <v>39949.333599999998</v>
      </c>
      <c r="S60" s="4">
        <v>522.84849999999994</v>
      </c>
      <c r="T60" s="4">
        <v>381.08499999999998</v>
      </c>
      <c r="U60" s="4">
        <v>141.76349999999999</v>
      </c>
      <c r="V60" s="4">
        <v>4368.3903</v>
      </c>
      <c r="W60" s="4">
        <v>4368.3903</v>
      </c>
      <c r="X60" s="4">
        <v>32900.659500000002</v>
      </c>
      <c r="Y60" s="4">
        <v>31715.210200000001</v>
      </c>
      <c r="Z60" s="4">
        <v>1185.4493</v>
      </c>
      <c r="AA60" s="4">
        <v>2157.4353000000001</v>
      </c>
    </row>
    <row r="61" spans="1:27" x14ac:dyDescent="0.2">
      <c r="A61" s="3">
        <v>42795</v>
      </c>
      <c r="B61" s="4">
        <v>40374.288200000003</v>
      </c>
      <c r="C61" s="4">
        <v>1578.4911</v>
      </c>
      <c r="D61" s="4">
        <v>499.77249999999998</v>
      </c>
      <c r="E61" s="4">
        <v>1078.7185999999999</v>
      </c>
      <c r="F61" s="5">
        <v>24256.366399999999</v>
      </c>
      <c r="G61" s="4">
        <v>64.676100000000005</v>
      </c>
      <c r="H61" s="4">
        <v>24191.690299999998</v>
      </c>
      <c r="I61" s="4">
        <v>183.74799999999999</v>
      </c>
      <c r="J61" s="5">
        <v>7400.3795</v>
      </c>
      <c r="K61" s="4">
        <v>7400.3795</v>
      </c>
      <c r="L61" s="4">
        <v>4253.7012999999997</v>
      </c>
      <c r="M61" s="4">
        <v>707.4239</v>
      </c>
      <c r="N61" s="4">
        <v>141.7158</v>
      </c>
      <c r="O61" s="4">
        <v>3404.5614999999998</v>
      </c>
      <c r="P61" s="4">
        <v>2701.6019999999999</v>
      </c>
      <c r="Q61" s="4">
        <v>-623.69860000000006</v>
      </c>
      <c r="R61" s="4">
        <v>40997.986799999999</v>
      </c>
      <c r="S61" s="4">
        <v>559.40570000000002</v>
      </c>
      <c r="T61" s="4">
        <v>407.3775</v>
      </c>
      <c r="U61" s="4">
        <v>152.0282</v>
      </c>
      <c r="V61" s="4">
        <v>4520.7129000000004</v>
      </c>
      <c r="W61" s="4">
        <v>4520.7129000000004</v>
      </c>
      <c r="X61" s="4">
        <v>33664.944300000003</v>
      </c>
      <c r="Y61" s="4">
        <v>32461.2107</v>
      </c>
      <c r="Z61" s="4">
        <v>1203.7336</v>
      </c>
      <c r="AA61" s="4">
        <v>2252.9238999999998</v>
      </c>
    </row>
    <row r="62" spans="1:27" x14ac:dyDescent="0.2">
      <c r="A62" s="3">
        <v>42887</v>
      </c>
      <c r="B62" s="4">
        <v>40926.142200000002</v>
      </c>
      <c r="C62" s="4">
        <v>1534.7625</v>
      </c>
      <c r="D62" s="4">
        <v>321.19959999999998</v>
      </c>
      <c r="E62" s="4">
        <v>1213.5628999999999</v>
      </c>
      <c r="F62" s="5">
        <v>24704.121200000001</v>
      </c>
      <c r="G62" s="4">
        <v>64.223500000000001</v>
      </c>
      <c r="H62" s="4">
        <v>24639.897700000001</v>
      </c>
      <c r="I62" s="4">
        <v>-8.9811999999999994</v>
      </c>
      <c r="J62" s="5">
        <v>7616.6426000000001</v>
      </c>
      <c r="K62" s="4">
        <v>7616.6426000000001</v>
      </c>
      <c r="L62" s="4">
        <v>4518.4295000000002</v>
      </c>
      <c r="M62" s="4">
        <v>711.49770000000001</v>
      </c>
      <c r="N62" s="4">
        <v>165.82849999999999</v>
      </c>
      <c r="O62" s="4">
        <v>3641.1032</v>
      </c>
      <c r="P62" s="4">
        <v>2561.1676000000002</v>
      </c>
      <c r="Q62" s="4">
        <v>-623.26760000000002</v>
      </c>
      <c r="R62" s="4">
        <v>41549.409800000001</v>
      </c>
      <c r="S62" s="4">
        <v>409.81939999999997</v>
      </c>
      <c r="T62" s="4">
        <v>298.17039999999997</v>
      </c>
      <c r="U62" s="4">
        <v>111.6491</v>
      </c>
      <c r="V62" s="4">
        <v>4544.4695000000002</v>
      </c>
      <c r="W62" s="4">
        <v>4544.4695000000002</v>
      </c>
      <c r="X62" s="4">
        <v>34528.085599999999</v>
      </c>
      <c r="Y62" s="4">
        <v>33278.068700000003</v>
      </c>
      <c r="Z62" s="4">
        <v>1250.0169000000001</v>
      </c>
      <c r="AA62" s="4">
        <v>2067.0353</v>
      </c>
    </row>
    <row r="63" spans="1:27" x14ac:dyDescent="0.2">
      <c r="A63" s="3">
        <v>42979</v>
      </c>
      <c r="B63" s="4">
        <v>41432.441299999999</v>
      </c>
      <c r="C63" s="4">
        <v>1649.6787999999999</v>
      </c>
      <c r="D63" s="4">
        <v>381.5883</v>
      </c>
      <c r="E63" s="4">
        <v>1268.0904</v>
      </c>
      <c r="F63" s="5">
        <v>24333.496200000001</v>
      </c>
      <c r="G63" s="4">
        <v>60.657800000000002</v>
      </c>
      <c r="H63" s="4">
        <v>24272.838400000001</v>
      </c>
      <c r="I63" s="4">
        <v>186.29920000000001</v>
      </c>
      <c r="J63" s="5">
        <v>7778.5641999999998</v>
      </c>
      <c r="K63" s="4">
        <v>7778.5641999999998</v>
      </c>
      <c r="L63" s="4">
        <v>4804.4619000000002</v>
      </c>
      <c r="M63" s="4">
        <v>692.30780000000004</v>
      </c>
      <c r="N63" s="4">
        <v>155.79830000000001</v>
      </c>
      <c r="O63" s="4">
        <v>3956.3557999999998</v>
      </c>
      <c r="P63" s="4">
        <v>2679.9411</v>
      </c>
      <c r="Q63" s="4">
        <v>-828.84199999999998</v>
      </c>
      <c r="R63" s="4">
        <v>42261.283300000003</v>
      </c>
      <c r="S63" s="4">
        <v>393.48050000000001</v>
      </c>
      <c r="T63" s="4">
        <v>288.70240000000001</v>
      </c>
      <c r="U63" s="4">
        <v>104.77809999999999</v>
      </c>
      <c r="V63" s="4">
        <v>4668.0889999999999</v>
      </c>
      <c r="W63" s="4">
        <v>4668.0889999999999</v>
      </c>
      <c r="X63" s="4">
        <v>35085.510699999999</v>
      </c>
      <c r="Y63" s="4">
        <v>33825.514499999997</v>
      </c>
      <c r="Z63" s="4">
        <v>1259.9962</v>
      </c>
      <c r="AA63" s="4">
        <v>2114.2031000000002</v>
      </c>
    </row>
    <row r="64" spans="1:27" x14ac:dyDescent="0.2">
      <c r="A64" s="3">
        <v>43070</v>
      </c>
      <c r="B64" s="4">
        <v>41923.491300000002</v>
      </c>
      <c r="C64" s="4">
        <v>1831.8686</v>
      </c>
      <c r="D64" s="4">
        <v>492.22879999999998</v>
      </c>
      <c r="E64" s="4">
        <v>1339.6397999999999</v>
      </c>
      <c r="F64" s="5">
        <v>24270.336599999999</v>
      </c>
      <c r="G64" s="4">
        <v>77.688999999999993</v>
      </c>
      <c r="H64" s="4">
        <v>24192.6476</v>
      </c>
      <c r="I64" s="4">
        <v>160.3006</v>
      </c>
      <c r="J64" s="5">
        <v>8033.6839</v>
      </c>
      <c r="K64" s="4">
        <v>8033.6839</v>
      </c>
      <c r="L64" s="4">
        <v>4841.5340999999999</v>
      </c>
      <c r="M64" s="4">
        <v>687.85559999999998</v>
      </c>
      <c r="N64" s="4">
        <v>162.99780000000001</v>
      </c>
      <c r="O64" s="4">
        <v>3990.6806999999999</v>
      </c>
      <c r="P64" s="4">
        <v>2785.7674999999999</v>
      </c>
      <c r="Q64" s="4">
        <v>-1131.6643999999999</v>
      </c>
      <c r="R64" s="4">
        <v>43055.155700000003</v>
      </c>
      <c r="S64" s="4">
        <v>441.7629</v>
      </c>
      <c r="T64" s="4">
        <v>325.3476</v>
      </c>
      <c r="U64" s="4">
        <v>116.4153</v>
      </c>
      <c r="V64" s="4">
        <v>4636.6238000000003</v>
      </c>
      <c r="W64" s="4">
        <v>4636.6238000000003</v>
      </c>
      <c r="X64" s="4">
        <v>35778.121899999998</v>
      </c>
      <c r="Y64" s="4">
        <v>34491.116099999999</v>
      </c>
      <c r="Z64" s="4">
        <v>1287.0057999999999</v>
      </c>
      <c r="AA64" s="4">
        <v>2198.6471000000001</v>
      </c>
    </row>
    <row r="65" spans="1:27" x14ac:dyDescent="0.2">
      <c r="A65" s="3">
        <v>43160</v>
      </c>
      <c r="B65" s="4">
        <v>43044.501400000001</v>
      </c>
      <c r="C65" s="4">
        <v>1909.0599</v>
      </c>
      <c r="D65" s="4">
        <v>552.72059999999999</v>
      </c>
      <c r="E65" s="4">
        <v>1356.3394000000001</v>
      </c>
      <c r="F65" s="5">
        <v>24766.574700000001</v>
      </c>
      <c r="G65" s="4">
        <v>96.636300000000006</v>
      </c>
      <c r="H65" s="4">
        <v>24669.9385</v>
      </c>
      <c r="I65" s="4">
        <v>170.70189999999999</v>
      </c>
      <c r="J65" s="5">
        <v>8189.9593000000004</v>
      </c>
      <c r="K65" s="4">
        <v>8189.9593000000004</v>
      </c>
      <c r="L65" s="4">
        <v>5207.2635</v>
      </c>
      <c r="M65" s="4">
        <v>728.56640000000004</v>
      </c>
      <c r="N65" s="4">
        <v>172.6044</v>
      </c>
      <c r="O65" s="4">
        <v>4306.0927000000001</v>
      </c>
      <c r="P65" s="4">
        <v>2800.942</v>
      </c>
      <c r="Q65" s="4">
        <v>-949.06060000000002</v>
      </c>
      <c r="R65" s="4">
        <v>43993.561999999998</v>
      </c>
      <c r="S65" s="4">
        <v>527.59429999999998</v>
      </c>
      <c r="T65" s="4">
        <v>387.64670000000001</v>
      </c>
      <c r="U65" s="4">
        <v>139.94759999999999</v>
      </c>
      <c r="V65" s="4">
        <v>4760.1823000000004</v>
      </c>
      <c r="W65" s="4">
        <v>4760.1823000000004</v>
      </c>
      <c r="X65" s="4">
        <v>36535.945</v>
      </c>
      <c r="Y65" s="4">
        <v>35224.940499999997</v>
      </c>
      <c r="Z65" s="4">
        <v>1311.0045</v>
      </c>
      <c r="AA65" s="4">
        <v>2169.8404</v>
      </c>
    </row>
    <row r="66" spans="1:27" x14ac:dyDescent="0.2">
      <c r="A66" s="3">
        <v>43252</v>
      </c>
      <c r="B66" s="4">
        <v>43749.184699999998</v>
      </c>
      <c r="C66" s="4">
        <v>1678.2257999999999</v>
      </c>
      <c r="D66" s="4">
        <v>410.65339999999998</v>
      </c>
      <c r="E66" s="4">
        <v>1267.5724</v>
      </c>
      <c r="F66" s="5">
        <v>25381.916399999998</v>
      </c>
      <c r="G66" s="4">
        <v>86.349100000000007</v>
      </c>
      <c r="H66" s="4">
        <v>25295.567200000001</v>
      </c>
      <c r="I66" s="4">
        <v>204.9853</v>
      </c>
      <c r="J66" s="5">
        <v>8472.6772000000001</v>
      </c>
      <c r="K66" s="4">
        <v>8472.6772000000001</v>
      </c>
      <c r="L66" s="4">
        <v>5278.3247000000001</v>
      </c>
      <c r="M66" s="4">
        <v>740.13279999999997</v>
      </c>
      <c r="N66" s="4">
        <v>151.39769999999999</v>
      </c>
      <c r="O66" s="4">
        <v>4386.7942000000003</v>
      </c>
      <c r="P66" s="4">
        <v>2733.0551999999998</v>
      </c>
      <c r="Q66" s="4">
        <v>-970.74379999999996</v>
      </c>
      <c r="R66" s="4">
        <v>44719.928500000002</v>
      </c>
      <c r="S66" s="4">
        <v>551.11030000000005</v>
      </c>
      <c r="T66" s="4">
        <v>404.90320000000003</v>
      </c>
      <c r="U66" s="4">
        <v>146.2071</v>
      </c>
      <c r="V66" s="4">
        <v>4758.415</v>
      </c>
      <c r="W66" s="4">
        <v>4758.415</v>
      </c>
      <c r="X66" s="4">
        <v>37335.529499999997</v>
      </c>
      <c r="Y66" s="4">
        <v>36007.705099999999</v>
      </c>
      <c r="Z66" s="4">
        <v>1327.8244</v>
      </c>
      <c r="AA66" s="4">
        <v>2074.8737000000001</v>
      </c>
    </row>
    <row r="67" spans="1:27" x14ac:dyDescent="0.2">
      <c r="A67" s="3">
        <v>43344</v>
      </c>
      <c r="B67" s="4">
        <v>44987.677199999998</v>
      </c>
      <c r="C67" s="4">
        <v>1760.1525999999999</v>
      </c>
      <c r="D67" s="4">
        <v>435.0634</v>
      </c>
      <c r="E67" s="4">
        <v>1325.0893000000001</v>
      </c>
      <c r="F67" s="5">
        <v>25932.014299999999</v>
      </c>
      <c r="G67" s="4">
        <v>91.364999999999995</v>
      </c>
      <c r="H67" s="4">
        <v>25840.649399999998</v>
      </c>
      <c r="I67" s="4">
        <v>174.86850000000001</v>
      </c>
      <c r="J67" s="5">
        <v>8710.8423000000003</v>
      </c>
      <c r="K67" s="4">
        <v>8710.8423000000003</v>
      </c>
      <c r="L67" s="4">
        <v>5617.0015000000003</v>
      </c>
      <c r="M67" s="4">
        <v>762.89959999999996</v>
      </c>
      <c r="N67" s="4">
        <v>219.21369999999999</v>
      </c>
      <c r="O67" s="4">
        <v>4634.8882000000003</v>
      </c>
      <c r="P67" s="4">
        <v>2792.7979999999998</v>
      </c>
      <c r="Q67" s="4">
        <v>-853.19989999999996</v>
      </c>
      <c r="R67" s="4">
        <v>45840.877</v>
      </c>
      <c r="S67" s="4">
        <v>512.57650000000001</v>
      </c>
      <c r="T67" s="4">
        <v>376.37650000000002</v>
      </c>
      <c r="U67" s="4">
        <v>136.19999999999999</v>
      </c>
      <c r="V67" s="4">
        <v>4905.6153999999997</v>
      </c>
      <c r="W67" s="4">
        <v>4905.6153999999997</v>
      </c>
      <c r="X67" s="4">
        <v>38190.348100000003</v>
      </c>
      <c r="Y67" s="4">
        <v>36839.116300000002</v>
      </c>
      <c r="Z67" s="4">
        <v>1351.2318</v>
      </c>
      <c r="AA67" s="4">
        <v>2232.337</v>
      </c>
    </row>
    <row r="68" spans="1:27" x14ac:dyDescent="0.2">
      <c r="A68" s="3">
        <v>43435</v>
      </c>
      <c r="B68" s="4">
        <v>46665.078500000003</v>
      </c>
      <c r="C68" s="4">
        <v>1624.9251999999999</v>
      </c>
      <c r="D68" s="4">
        <v>353.0052</v>
      </c>
      <c r="E68" s="4">
        <v>1271.9201</v>
      </c>
      <c r="F68" s="5">
        <v>26716.076400000002</v>
      </c>
      <c r="G68" s="4">
        <v>94.575999999999993</v>
      </c>
      <c r="H68" s="4">
        <v>26621.500400000001</v>
      </c>
      <c r="I68" s="4">
        <v>174.62190000000001</v>
      </c>
      <c r="J68" s="5">
        <v>9011.3651000000009</v>
      </c>
      <c r="K68" s="4">
        <v>9011.3651000000009</v>
      </c>
      <c r="L68" s="4">
        <v>5863.8789999999999</v>
      </c>
      <c r="M68" s="4">
        <v>848.90890000000002</v>
      </c>
      <c r="N68" s="4">
        <v>184.39779999999999</v>
      </c>
      <c r="O68" s="4">
        <v>4830.5722999999998</v>
      </c>
      <c r="P68" s="4">
        <v>3274.2109</v>
      </c>
      <c r="Q68" s="4">
        <v>-569.58259999999996</v>
      </c>
      <c r="R68" s="4">
        <v>47234.661099999998</v>
      </c>
      <c r="S68" s="4">
        <v>701.33100000000002</v>
      </c>
      <c r="T68" s="4">
        <v>515.98609999999996</v>
      </c>
      <c r="U68" s="4">
        <v>185.3449</v>
      </c>
      <c r="V68" s="4">
        <v>5000.4502000000002</v>
      </c>
      <c r="W68" s="4">
        <v>5000.4502000000002</v>
      </c>
      <c r="X68" s="4">
        <v>39014.9254</v>
      </c>
      <c r="Y68" s="4">
        <v>37605.683199999999</v>
      </c>
      <c r="Z68" s="4">
        <v>1409.2420999999999</v>
      </c>
      <c r="AA68" s="4">
        <v>2517.9544999999998</v>
      </c>
    </row>
    <row r="69" spans="1:27" x14ac:dyDescent="0.2">
      <c r="A69" s="3">
        <v>43525</v>
      </c>
      <c r="B69" s="4">
        <v>47921.587</v>
      </c>
      <c r="C69" s="4">
        <v>1780.8895</v>
      </c>
      <c r="D69" s="4">
        <v>435.55020000000002</v>
      </c>
      <c r="E69" s="4">
        <v>1345.3393000000001</v>
      </c>
      <c r="F69" s="5">
        <v>27408.1266</v>
      </c>
      <c r="G69" s="4">
        <v>122.8053</v>
      </c>
      <c r="H69" s="4">
        <v>27285.3213</v>
      </c>
      <c r="I69" s="4">
        <v>152.41550000000001</v>
      </c>
      <c r="J69" s="5">
        <v>9286.4326999999994</v>
      </c>
      <c r="K69" s="4">
        <v>9286.4326999999994</v>
      </c>
      <c r="L69" s="4">
        <v>6237.6040999999996</v>
      </c>
      <c r="M69" s="4">
        <v>864.20910000000003</v>
      </c>
      <c r="N69" s="4">
        <v>236.5761</v>
      </c>
      <c r="O69" s="4">
        <v>5136.8189000000002</v>
      </c>
      <c r="P69" s="4">
        <v>3056.1185999999998</v>
      </c>
      <c r="Q69" s="4">
        <v>-139.00790000000001</v>
      </c>
      <c r="R69" s="4">
        <v>48060.595000000001</v>
      </c>
      <c r="S69" s="4">
        <v>609.99890000000005</v>
      </c>
      <c r="T69" s="4">
        <v>428.19929999999999</v>
      </c>
      <c r="U69" s="4">
        <v>181.7996</v>
      </c>
      <c r="V69" s="4">
        <v>5100.0573000000004</v>
      </c>
      <c r="W69" s="4">
        <v>5100.0573000000004</v>
      </c>
      <c r="X69" s="4">
        <v>39736.506399999998</v>
      </c>
      <c r="Y69" s="4">
        <v>38296.011299999998</v>
      </c>
      <c r="Z69" s="4">
        <v>1440.4952000000001</v>
      </c>
      <c r="AA69" s="4">
        <v>2614.0322999999999</v>
      </c>
    </row>
    <row r="70" spans="1:27" x14ac:dyDescent="0.2">
      <c r="A70" s="3">
        <v>43617</v>
      </c>
      <c r="B70" s="4">
        <v>49791.572500000002</v>
      </c>
      <c r="C70" s="4">
        <v>1796.7375999999999</v>
      </c>
      <c r="D70" s="4">
        <v>430.47399999999999</v>
      </c>
      <c r="E70" s="4">
        <v>1366.2636</v>
      </c>
      <c r="F70" s="5">
        <v>28899.613499999999</v>
      </c>
      <c r="G70" s="4">
        <v>101.1905</v>
      </c>
      <c r="H70" s="4">
        <v>28798.422999999999</v>
      </c>
      <c r="I70" s="4">
        <v>137.93770000000001</v>
      </c>
      <c r="J70" s="5">
        <v>9449.7168999999994</v>
      </c>
      <c r="K70" s="4">
        <v>9449.7168999999994</v>
      </c>
      <c r="L70" s="4">
        <v>6507.7800999999999</v>
      </c>
      <c r="M70" s="4">
        <v>886.34749999999997</v>
      </c>
      <c r="N70" s="4">
        <v>223.73740000000001</v>
      </c>
      <c r="O70" s="4">
        <v>5397.6952000000001</v>
      </c>
      <c r="P70" s="4">
        <v>2999.7865999999999</v>
      </c>
      <c r="Q70" s="4">
        <v>743.37099999999998</v>
      </c>
      <c r="R70" s="4">
        <v>49048.201500000003</v>
      </c>
      <c r="S70" s="4">
        <v>570.14139999999998</v>
      </c>
      <c r="T70" s="4">
        <v>390.68189999999998</v>
      </c>
      <c r="U70" s="4">
        <v>179.45949999999999</v>
      </c>
      <c r="V70" s="4">
        <v>5280.7951000000003</v>
      </c>
      <c r="W70" s="4">
        <v>5280.7951000000003</v>
      </c>
      <c r="X70" s="4">
        <v>40897.096299999997</v>
      </c>
      <c r="Y70" s="4">
        <v>39423.294699999999</v>
      </c>
      <c r="Z70" s="4">
        <v>1473.8016</v>
      </c>
      <c r="AA70" s="4">
        <v>2300.1687000000002</v>
      </c>
    </row>
    <row r="71" spans="1:27" x14ac:dyDescent="0.2">
      <c r="A71" s="3">
        <v>43709</v>
      </c>
      <c r="B71" s="4">
        <v>52832.807500000003</v>
      </c>
      <c r="C71" s="4">
        <v>1907.2802999999999</v>
      </c>
      <c r="D71" s="4">
        <v>492.041</v>
      </c>
      <c r="E71" s="4">
        <v>1415.2392</v>
      </c>
      <c r="F71" s="5">
        <v>31082.873299999999</v>
      </c>
      <c r="G71" s="4">
        <v>115.2664</v>
      </c>
      <c r="H71" s="4">
        <v>30967.606800000001</v>
      </c>
      <c r="I71" s="4">
        <v>208.50280000000001</v>
      </c>
      <c r="J71" s="5">
        <v>9628.1458000000002</v>
      </c>
      <c r="K71" s="4">
        <v>9628.1458000000002</v>
      </c>
      <c r="L71" s="4">
        <v>7022.9405999999999</v>
      </c>
      <c r="M71" s="4">
        <v>911.78099999999995</v>
      </c>
      <c r="N71" s="4">
        <v>204.405</v>
      </c>
      <c r="O71" s="4">
        <v>5906.7546000000002</v>
      </c>
      <c r="P71" s="4">
        <v>2983.0648999999999</v>
      </c>
      <c r="Q71" s="4">
        <v>1968.4247</v>
      </c>
      <c r="R71" s="4">
        <v>50864.382799999999</v>
      </c>
      <c r="S71" s="4">
        <v>973.28790000000004</v>
      </c>
      <c r="T71" s="4">
        <v>678.63810000000001</v>
      </c>
      <c r="U71" s="4">
        <v>294.64980000000003</v>
      </c>
      <c r="V71" s="4">
        <v>5659.5389999999998</v>
      </c>
      <c r="W71" s="4">
        <v>5659.5389999999998</v>
      </c>
      <c r="X71" s="4">
        <v>41676.953600000001</v>
      </c>
      <c r="Y71" s="4">
        <v>40217.954899999997</v>
      </c>
      <c r="Z71" s="4">
        <v>1458.9987000000001</v>
      </c>
      <c r="AA71" s="4">
        <v>2554.6023</v>
      </c>
    </row>
    <row r="72" spans="1:27" x14ac:dyDescent="0.2">
      <c r="A72" s="3">
        <v>43800</v>
      </c>
      <c r="B72" s="4">
        <v>52269.637900000002</v>
      </c>
      <c r="C72" s="4">
        <v>1743.5016000000001</v>
      </c>
      <c r="D72" s="4">
        <v>408.15870000000001</v>
      </c>
      <c r="E72" s="4">
        <v>1335.3429000000001</v>
      </c>
      <c r="F72" s="5">
        <v>28957.314600000002</v>
      </c>
      <c r="G72" s="4">
        <v>122.9143</v>
      </c>
      <c r="H72" s="4">
        <v>28834.400300000001</v>
      </c>
      <c r="I72" s="4">
        <v>227.017</v>
      </c>
      <c r="J72" s="5">
        <v>9963.4055000000008</v>
      </c>
      <c r="K72" s="4">
        <v>9963.4055000000008</v>
      </c>
      <c r="L72" s="4">
        <v>7254.7043000000003</v>
      </c>
      <c r="M72" s="4">
        <v>840.7328</v>
      </c>
      <c r="N72" s="4">
        <v>210.1885</v>
      </c>
      <c r="O72" s="4">
        <v>6203.7829000000002</v>
      </c>
      <c r="P72" s="4">
        <v>4123.6949000000004</v>
      </c>
      <c r="Q72" s="4">
        <v>-224.47309999999999</v>
      </c>
      <c r="R72" s="4">
        <v>52494.110999999997</v>
      </c>
      <c r="S72" s="4">
        <v>1045.4157</v>
      </c>
      <c r="T72" s="4">
        <v>725.86689999999999</v>
      </c>
      <c r="U72" s="4">
        <v>319.54880000000003</v>
      </c>
      <c r="V72" s="4">
        <v>5606.6638999999996</v>
      </c>
      <c r="W72" s="4">
        <v>5606.6638999999996</v>
      </c>
      <c r="X72" s="4">
        <v>42293.894899999999</v>
      </c>
      <c r="Y72" s="4">
        <v>40715.510900000001</v>
      </c>
      <c r="Z72" s="4">
        <v>1578.384</v>
      </c>
      <c r="AA72" s="4">
        <v>3548.1365000000001</v>
      </c>
    </row>
    <row r="73" spans="1:27" x14ac:dyDescent="0.2">
      <c r="A73" s="3">
        <v>43891</v>
      </c>
      <c r="B73" s="4">
        <v>52024.921699999999</v>
      </c>
      <c r="C73" s="4">
        <v>2609.7601</v>
      </c>
      <c r="D73" s="4">
        <v>826.13229999999999</v>
      </c>
      <c r="E73" s="4">
        <v>1783.6279</v>
      </c>
      <c r="F73" s="5">
        <v>27827.110499999999</v>
      </c>
      <c r="G73" s="4">
        <v>183.11789999999999</v>
      </c>
      <c r="H73" s="4">
        <v>27643.992600000001</v>
      </c>
      <c r="I73" s="4">
        <v>181.5915</v>
      </c>
      <c r="J73" s="5">
        <v>9941.3603999999996</v>
      </c>
      <c r="K73" s="4">
        <v>9941.3603999999996</v>
      </c>
      <c r="L73" s="4">
        <v>7159.3631999999998</v>
      </c>
      <c r="M73" s="4">
        <v>779.19629999999995</v>
      </c>
      <c r="N73" s="4">
        <v>190.4966</v>
      </c>
      <c r="O73" s="4">
        <v>6189.6704</v>
      </c>
      <c r="P73" s="4">
        <v>4305.7358999999997</v>
      </c>
      <c r="Q73" s="4">
        <v>-1932.0066999999999</v>
      </c>
      <c r="R73" s="4">
        <v>53956.9283</v>
      </c>
      <c r="S73" s="4">
        <v>1913.8504</v>
      </c>
      <c r="T73" s="4">
        <v>1356.7692999999999</v>
      </c>
      <c r="U73" s="4">
        <v>557.08109999999999</v>
      </c>
      <c r="V73" s="4">
        <v>5553.2098999999998</v>
      </c>
      <c r="W73" s="4">
        <v>5553.2098999999998</v>
      </c>
      <c r="X73" s="4">
        <v>42709.951200000003</v>
      </c>
      <c r="Y73" s="4">
        <v>41134.410600000003</v>
      </c>
      <c r="Z73" s="4">
        <v>1575.5407</v>
      </c>
      <c r="AA73" s="4">
        <v>3779.9168</v>
      </c>
    </row>
    <row r="74" spans="1:27" x14ac:dyDescent="0.2">
      <c r="A74" s="3">
        <v>43983</v>
      </c>
      <c r="B74" s="4">
        <v>53874.503400000001</v>
      </c>
      <c r="C74" s="4">
        <v>1784.6877999999999</v>
      </c>
      <c r="D74" s="4">
        <v>478.60120000000001</v>
      </c>
      <c r="E74" s="4">
        <v>1306.0866000000001</v>
      </c>
      <c r="F74" s="5">
        <v>30013.279600000002</v>
      </c>
      <c r="G74" s="4">
        <v>139.64240000000001</v>
      </c>
      <c r="H74" s="4">
        <v>29873.637200000001</v>
      </c>
      <c r="I74" s="4">
        <v>253.35140000000001</v>
      </c>
      <c r="J74" s="5">
        <v>9910.9619999999995</v>
      </c>
      <c r="K74" s="4">
        <v>9910.9619999999995</v>
      </c>
      <c r="L74" s="4">
        <v>8053.04</v>
      </c>
      <c r="M74" s="4">
        <v>830.25829999999996</v>
      </c>
      <c r="N74" s="4">
        <v>291.68200000000002</v>
      </c>
      <c r="O74" s="4">
        <v>6931.0996999999998</v>
      </c>
      <c r="P74" s="4">
        <v>3859.1826000000001</v>
      </c>
      <c r="Q74" s="4">
        <v>230.4126</v>
      </c>
      <c r="R74" s="4">
        <v>53644.090799999998</v>
      </c>
      <c r="S74" s="4">
        <v>1354.8416999999999</v>
      </c>
      <c r="T74" s="4">
        <v>948.26859999999999</v>
      </c>
      <c r="U74" s="4">
        <v>406.57299999999998</v>
      </c>
      <c r="V74" s="4">
        <v>5824.3123999999998</v>
      </c>
      <c r="W74" s="4">
        <v>5824.3123999999998</v>
      </c>
      <c r="X74" s="4">
        <v>42965.804300000003</v>
      </c>
      <c r="Y74" s="4">
        <v>41480.993199999997</v>
      </c>
      <c r="Z74" s="4">
        <v>1484.8110999999999</v>
      </c>
      <c r="AA74" s="4">
        <v>3499.1324</v>
      </c>
    </row>
    <row r="75" spans="1:27" x14ac:dyDescent="0.2">
      <c r="A75" s="3">
        <v>44075</v>
      </c>
      <c r="B75" s="4">
        <v>52995.2333</v>
      </c>
      <c r="C75" s="4">
        <v>2180.8584999999998</v>
      </c>
      <c r="D75" s="4">
        <v>678.70119999999997</v>
      </c>
      <c r="E75" s="4">
        <v>1502.1573000000001</v>
      </c>
      <c r="F75" s="5">
        <v>29128.010699999999</v>
      </c>
      <c r="G75" s="4">
        <v>104.71259999999999</v>
      </c>
      <c r="H75" s="4">
        <v>29023.2981</v>
      </c>
      <c r="I75" s="4">
        <v>225.3587</v>
      </c>
      <c r="J75" s="5">
        <v>9823.6574999999993</v>
      </c>
      <c r="K75" s="4">
        <v>9823.6574999999993</v>
      </c>
      <c r="L75" s="4">
        <v>7769.2217000000001</v>
      </c>
      <c r="M75" s="4">
        <v>804.14189999999996</v>
      </c>
      <c r="N75" s="4">
        <v>275.85079999999999</v>
      </c>
      <c r="O75" s="4">
        <v>6689.2290000000003</v>
      </c>
      <c r="P75" s="4">
        <v>3868.1262000000002</v>
      </c>
      <c r="Q75" s="4">
        <v>-275.86770000000001</v>
      </c>
      <c r="R75" s="4">
        <v>53271.1011</v>
      </c>
      <c r="S75" s="4">
        <v>980.98379999999997</v>
      </c>
      <c r="T75" s="4">
        <v>677.15449999999998</v>
      </c>
      <c r="U75" s="4">
        <v>303.82929999999999</v>
      </c>
      <c r="V75" s="4">
        <v>5946.8428000000004</v>
      </c>
      <c r="W75" s="4">
        <v>5946.8428000000004</v>
      </c>
      <c r="X75" s="4">
        <v>42889.188000000002</v>
      </c>
      <c r="Y75" s="4">
        <v>41444.769500000002</v>
      </c>
      <c r="Z75" s="4">
        <v>1444.4184</v>
      </c>
      <c r="AA75" s="4">
        <v>3454.0864000000001</v>
      </c>
    </row>
    <row r="76" spans="1:27" x14ac:dyDescent="0.2">
      <c r="A76" s="3">
        <v>44166</v>
      </c>
      <c r="B76" s="4">
        <v>53750.748299999999</v>
      </c>
      <c r="C76" s="4">
        <v>2556.3105</v>
      </c>
      <c r="D76" s="4">
        <v>855.60550000000001</v>
      </c>
      <c r="E76" s="4">
        <v>1700.7049999999999</v>
      </c>
      <c r="F76" s="5">
        <v>28909.346699999998</v>
      </c>
      <c r="G76" s="4">
        <v>121.5394</v>
      </c>
      <c r="H76" s="4">
        <v>28787.8073</v>
      </c>
      <c r="I76" s="4">
        <v>153.79069999999999</v>
      </c>
      <c r="J76" s="5">
        <v>10123.8838</v>
      </c>
      <c r="K76" s="4">
        <v>10123.8838</v>
      </c>
      <c r="L76" s="4">
        <v>7968.7470999999996</v>
      </c>
      <c r="M76" s="4">
        <v>837.89819999999997</v>
      </c>
      <c r="N76" s="4">
        <v>236.56870000000001</v>
      </c>
      <c r="O76" s="4">
        <v>6894.2802000000001</v>
      </c>
      <c r="P76" s="4">
        <v>4038.6695</v>
      </c>
      <c r="Q76" s="4">
        <v>-89.093900000000005</v>
      </c>
      <c r="R76" s="4">
        <v>53839.842199999999</v>
      </c>
      <c r="S76" s="4">
        <v>753.89449999999999</v>
      </c>
      <c r="T76" s="4">
        <v>513.0498</v>
      </c>
      <c r="U76" s="4">
        <v>240.84469999999999</v>
      </c>
      <c r="V76" s="4">
        <v>6010.0434999999998</v>
      </c>
      <c r="W76" s="4">
        <v>6010.0434999999998</v>
      </c>
      <c r="X76" s="4">
        <v>43538.757400000002</v>
      </c>
      <c r="Y76" s="4">
        <v>42021.207799999996</v>
      </c>
      <c r="Z76" s="4">
        <v>1517.5495000000001</v>
      </c>
      <c r="AA76" s="4">
        <v>3537.1468</v>
      </c>
    </row>
    <row r="77" spans="1:27" x14ac:dyDescent="0.2">
      <c r="A77" s="3">
        <v>44256</v>
      </c>
      <c r="B77" s="4">
        <v>53519.594899999996</v>
      </c>
      <c r="C77" s="4">
        <v>2542.9744999999998</v>
      </c>
      <c r="D77" s="4">
        <v>867.73159999999996</v>
      </c>
      <c r="E77" s="4">
        <v>1675.2429</v>
      </c>
      <c r="F77" s="5">
        <v>28615.2765</v>
      </c>
      <c r="G77" s="4">
        <v>176.67760000000001</v>
      </c>
      <c r="H77" s="4">
        <v>28438.598900000001</v>
      </c>
      <c r="I77" s="4">
        <v>99.103300000000004</v>
      </c>
      <c r="J77" s="5">
        <v>10127.436799999999</v>
      </c>
      <c r="K77" s="4">
        <v>10127.436799999999</v>
      </c>
      <c r="L77" s="4">
        <v>8455.1470000000008</v>
      </c>
      <c r="M77" s="4">
        <v>858.14319999999998</v>
      </c>
      <c r="N77" s="4">
        <v>206.82640000000001</v>
      </c>
      <c r="O77" s="4">
        <v>7390.1773999999996</v>
      </c>
      <c r="P77" s="4">
        <v>3679.6569</v>
      </c>
      <c r="Q77" s="4">
        <v>-683.42769999999996</v>
      </c>
      <c r="R77" s="4">
        <v>54203.022700000001</v>
      </c>
      <c r="S77" s="4">
        <v>615.4556</v>
      </c>
      <c r="T77" s="4">
        <v>414.75470000000001</v>
      </c>
      <c r="U77" s="4">
        <v>200.70099999999999</v>
      </c>
      <c r="V77" s="4">
        <v>6334.0834000000004</v>
      </c>
      <c r="W77" s="4">
        <v>6334.0834000000004</v>
      </c>
      <c r="X77" s="4">
        <v>43936.184399999998</v>
      </c>
      <c r="Y77" s="4">
        <v>42405.609299999996</v>
      </c>
      <c r="Z77" s="4">
        <v>1530.5751</v>
      </c>
      <c r="AA77" s="4">
        <v>3317.2991999999999</v>
      </c>
    </row>
    <row r="78" spans="1:27" x14ac:dyDescent="0.2">
      <c r="A78" s="3">
        <v>44348</v>
      </c>
      <c r="B78" s="4">
        <v>50989.446799999998</v>
      </c>
      <c r="C78" s="4">
        <v>2330.4868000000001</v>
      </c>
      <c r="D78" s="4">
        <v>767.11019999999996</v>
      </c>
      <c r="E78" s="4">
        <v>1563.3766000000001</v>
      </c>
      <c r="F78" s="5">
        <v>26062.308300000001</v>
      </c>
      <c r="G78" s="4">
        <v>143.74979999999999</v>
      </c>
      <c r="H78" s="4">
        <v>25918.558499999999</v>
      </c>
      <c r="I78" s="4">
        <v>141.0359</v>
      </c>
      <c r="J78" s="5">
        <v>10283.500899999999</v>
      </c>
      <c r="K78" s="4">
        <v>10283.500899999999</v>
      </c>
      <c r="L78" s="4">
        <v>8389.4410000000007</v>
      </c>
      <c r="M78" s="4">
        <v>816.28200000000004</v>
      </c>
      <c r="N78" s="4">
        <v>183.1</v>
      </c>
      <c r="O78" s="4">
        <v>7390.0589</v>
      </c>
      <c r="P78" s="4">
        <v>3782.6738</v>
      </c>
      <c r="Q78" s="4">
        <v>-2901.4056999999998</v>
      </c>
      <c r="R78" s="4">
        <v>53890.852400000003</v>
      </c>
      <c r="S78" s="4">
        <v>740.17309999999998</v>
      </c>
      <c r="T78" s="4">
        <v>508.07319999999999</v>
      </c>
      <c r="U78" s="4">
        <v>232.09989999999999</v>
      </c>
      <c r="V78" s="4">
        <v>6362.4948999999997</v>
      </c>
      <c r="W78" s="4">
        <v>6362.4948999999997</v>
      </c>
      <c r="X78" s="4">
        <v>43699.548600000002</v>
      </c>
      <c r="Y78" s="4">
        <v>42192.363700000002</v>
      </c>
      <c r="Z78" s="4">
        <v>1507.1849</v>
      </c>
      <c r="AA78" s="4">
        <v>3088.6358</v>
      </c>
    </row>
    <row r="79" spans="1:27" x14ac:dyDescent="0.2">
      <c r="A79" s="3">
        <v>44440</v>
      </c>
      <c r="B79" s="4">
        <v>51661.119100000004</v>
      </c>
      <c r="C79" s="4">
        <v>2030.8662999999999</v>
      </c>
      <c r="D79" s="4">
        <v>407.08479999999997</v>
      </c>
      <c r="E79" s="4">
        <v>1623.7815000000001</v>
      </c>
      <c r="F79" s="5">
        <v>26078.168600000001</v>
      </c>
      <c r="G79" s="4">
        <v>224.18270000000001</v>
      </c>
      <c r="H79" s="4">
        <v>25853.9859</v>
      </c>
      <c r="I79" s="4">
        <v>332.6114</v>
      </c>
      <c r="J79" s="5">
        <v>10479.997799999999</v>
      </c>
      <c r="K79" s="4">
        <v>10479.997799999999</v>
      </c>
      <c r="L79" s="4">
        <v>8798.5802000000003</v>
      </c>
      <c r="M79" s="4">
        <v>853.31889999999999</v>
      </c>
      <c r="N79" s="4">
        <v>155.8535</v>
      </c>
      <c r="O79" s="4">
        <v>7789.4078</v>
      </c>
      <c r="P79" s="4">
        <v>3940.8948</v>
      </c>
      <c r="Q79" s="4">
        <v>-4115.5223999999998</v>
      </c>
      <c r="R79" s="4">
        <v>55776.641499999998</v>
      </c>
      <c r="S79" s="4">
        <v>1518.2573</v>
      </c>
      <c r="T79" s="4">
        <v>1082.5166999999999</v>
      </c>
      <c r="U79" s="4">
        <v>435.74059999999997</v>
      </c>
      <c r="V79" s="4">
        <v>6448.7048999999997</v>
      </c>
      <c r="W79" s="4">
        <v>6448.7048999999997</v>
      </c>
      <c r="X79" s="4">
        <v>44434.642399999997</v>
      </c>
      <c r="Y79" s="4">
        <v>42832.012300000002</v>
      </c>
      <c r="Z79" s="4">
        <v>1602.6301000000001</v>
      </c>
      <c r="AA79" s="4">
        <v>3375.0369000000001</v>
      </c>
    </row>
    <row r="80" spans="1:27" x14ac:dyDescent="0.2">
      <c r="A80" s="3">
        <v>44531</v>
      </c>
      <c r="B80" s="4">
        <v>53184.038800000002</v>
      </c>
      <c r="C80" s="4">
        <v>2260.6768999999999</v>
      </c>
      <c r="D80" s="4">
        <v>455.27850000000001</v>
      </c>
      <c r="E80" s="4">
        <v>1805.3984</v>
      </c>
      <c r="F80" s="5">
        <v>25891.578300000001</v>
      </c>
      <c r="G80" s="4">
        <v>237.6414</v>
      </c>
      <c r="H80" s="4">
        <v>25653.936900000001</v>
      </c>
      <c r="I80" s="4">
        <v>212.38939999999999</v>
      </c>
      <c r="J80" s="5">
        <v>10970.5784</v>
      </c>
      <c r="K80" s="4">
        <v>10970.5784</v>
      </c>
      <c r="L80" s="4">
        <v>9525.1206999999995</v>
      </c>
      <c r="M80" s="4">
        <v>829.28710000000001</v>
      </c>
      <c r="N80" s="4">
        <v>159.238</v>
      </c>
      <c r="O80" s="4">
        <v>8536.5956000000006</v>
      </c>
      <c r="P80" s="4">
        <v>4323.6949999999997</v>
      </c>
      <c r="Q80" s="4">
        <v>-4792.1153000000004</v>
      </c>
      <c r="R80" s="4">
        <v>57976.1541</v>
      </c>
      <c r="S80" s="4">
        <v>1824.1563000000001</v>
      </c>
      <c r="T80" s="4">
        <v>1307.4786999999999</v>
      </c>
      <c r="U80" s="4">
        <v>516.67759999999998</v>
      </c>
      <c r="V80" s="4">
        <v>6462.6301000000003</v>
      </c>
      <c r="W80" s="4">
        <v>6462.6301000000003</v>
      </c>
      <c r="X80" s="4">
        <v>46023.0726</v>
      </c>
      <c r="Y80" s="4">
        <v>44267.044300000001</v>
      </c>
      <c r="Z80" s="4">
        <v>1756.0282999999999</v>
      </c>
      <c r="AA80" s="4">
        <v>3666.2952</v>
      </c>
    </row>
    <row r="81" spans="1:27" x14ac:dyDescent="0.2">
      <c r="A81" s="3">
        <v>44621</v>
      </c>
      <c r="B81" s="4">
        <v>53610.680699999997</v>
      </c>
      <c r="C81" s="4">
        <v>2312.2082</v>
      </c>
      <c r="D81" s="4">
        <v>587.13620000000003</v>
      </c>
      <c r="E81" s="4">
        <v>1725.0721000000001</v>
      </c>
      <c r="F81" s="5">
        <v>26611.828099999999</v>
      </c>
      <c r="G81" s="4">
        <v>334.7586</v>
      </c>
      <c r="H81" s="4">
        <v>26277.069500000001</v>
      </c>
      <c r="I81" s="4">
        <v>230.3725</v>
      </c>
      <c r="J81" s="5">
        <v>11376.7965</v>
      </c>
      <c r="K81" s="4">
        <v>11376.7965</v>
      </c>
      <c r="L81" s="4">
        <v>9066.8691999999992</v>
      </c>
      <c r="M81" s="4">
        <v>816.03639999999996</v>
      </c>
      <c r="N81" s="4">
        <v>148.37020000000001</v>
      </c>
      <c r="O81" s="4">
        <v>8102.4625999999998</v>
      </c>
      <c r="P81" s="4">
        <v>4012.6062000000002</v>
      </c>
      <c r="Q81" s="4">
        <v>-4653.2911999999997</v>
      </c>
      <c r="R81" s="4">
        <v>58263.971899999997</v>
      </c>
      <c r="S81" s="4">
        <v>1138.0308</v>
      </c>
      <c r="T81" s="4">
        <v>807.49040000000002</v>
      </c>
      <c r="U81" s="4">
        <v>330.54039999999998</v>
      </c>
      <c r="V81" s="4">
        <v>6757.8766999999998</v>
      </c>
      <c r="W81" s="4">
        <v>6757.8766999999998</v>
      </c>
      <c r="X81" s="4">
        <v>46975.667000000001</v>
      </c>
      <c r="Y81" s="4">
        <v>45120.883800000003</v>
      </c>
      <c r="Z81" s="4">
        <v>1854.7832000000001</v>
      </c>
      <c r="AA81" s="4">
        <v>3392.3973999999998</v>
      </c>
    </row>
    <row r="82" spans="1:27" x14ac:dyDescent="0.2">
      <c r="A82" s="3">
        <v>44713</v>
      </c>
      <c r="B82" s="4">
        <v>57168.977800000001</v>
      </c>
      <c r="C82" s="4">
        <v>2082.1133</v>
      </c>
      <c r="D82" s="4">
        <v>417.62090000000001</v>
      </c>
      <c r="E82" s="4">
        <v>1664.4924000000001</v>
      </c>
      <c r="F82" s="5">
        <v>29297.7179</v>
      </c>
      <c r="G82" s="4">
        <v>257.02769999999998</v>
      </c>
      <c r="H82" s="4">
        <v>29040.690200000001</v>
      </c>
      <c r="I82" s="4">
        <v>329.07389999999998</v>
      </c>
      <c r="J82" s="5">
        <v>11904.561</v>
      </c>
      <c r="K82" s="4">
        <v>11904.561</v>
      </c>
      <c r="L82" s="4">
        <v>9643.5445</v>
      </c>
      <c r="M82" s="4">
        <v>845.14319999999998</v>
      </c>
      <c r="N82" s="4">
        <v>122.7038</v>
      </c>
      <c r="O82" s="4">
        <v>8675.6975000000002</v>
      </c>
      <c r="P82" s="4">
        <v>3911.9672999999998</v>
      </c>
      <c r="Q82" s="4">
        <v>-4537.0172000000002</v>
      </c>
      <c r="R82" s="4">
        <v>61705.995000000003</v>
      </c>
      <c r="S82" s="4">
        <v>1675.2719</v>
      </c>
      <c r="T82" s="4">
        <v>1205.5526</v>
      </c>
      <c r="U82" s="4">
        <v>469.71929999999998</v>
      </c>
      <c r="V82" s="4">
        <v>7054.2246999999998</v>
      </c>
      <c r="W82" s="4">
        <v>7054.2246999999998</v>
      </c>
      <c r="X82" s="4">
        <v>49346.741999999998</v>
      </c>
      <c r="Y82" s="4">
        <v>47386.892899999999</v>
      </c>
      <c r="Z82" s="4">
        <v>1959.8490999999999</v>
      </c>
      <c r="AA82" s="4">
        <v>3629.7564000000002</v>
      </c>
    </row>
    <row r="83" spans="1:27" x14ac:dyDescent="0.2">
      <c r="A83" s="3">
        <v>44805</v>
      </c>
      <c r="B83" s="4">
        <v>58035.7235</v>
      </c>
      <c r="C83" s="4">
        <v>2137.8564000000001</v>
      </c>
      <c r="D83" s="4">
        <v>429.53969999999998</v>
      </c>
      <c r="E83" s="4">
        <v>1708.3167000000001</v>
      </c>
      <c r="F83" s="5">
        <v>29431.876</v>
      </c>
      <c r="G83" s="4">
        <v>236.86250000000001</v>
      </c>
      <c r="H83" s="4">
        <v>29195.013599999998</v>
      </c>
      <c r="I83" s="4">
        <v>191.01050000000001</v>
      </c>
      <c r="J83" s="5">
        <v>12333.6379</v>
      </c>
      <c r="K83" s="4">
        <v>12333.6379</v>
      </c>
      <c r="L83" s="4">
        <v>9575.2526999999991</v>
      </c>
      <c r="M83" s="4">
        <v>951.70939999999996</v>
      </c>
      <c r="N83" s="4">
        <v>124.16500000000001</v>
      </c>
      <c r="O83" s="4">
        <v>8499.3783000000003</v>
      </c>
      <c r="P83" s="4">
        <v>4366.0898999999999</v>
      </c>
      <c r="Q83" s="4">
        <v>-5928.3091999999997</v>
      </c>
      <c r="R83" s="4">
        <v>63964.032700000003</v>
      </c>
      <c r="S83" s="4">
        <v>1539.3622</v>
      </c>
      <c r="T83" s="4">
        <v>1098.8625999999999</v>
      </c>
      <c r="U83" s="4">
        <v>440.49959999999999</v>
      </c>
      <c r="V83" s="4">
        <v>7127.3786</v>
      </c>
      <c r="W83" s="4">
        <v>7127.3786</v>
      </c>
      <c r="X83" s="4">
        <v>51474.532099999997</v>
      </c>
      <c r="Y83" s="4">
        <v>49390.784599999999</v>
      </c>
      <c r="Z83" s="4">
        <v>2083.7474999999999</v>
      </c>
      <c r="AA83" s="4">
        <v>3822.7597000000001</v>
      </c>
    </row>
    <row r="84" spans="1:27" x14ac:dyDescent="0.2">
      <c r="A84" s="3">
        <v>44896</v>
      </c>
      <c r="B84" s="4">
        <v>60345.343099999998</v>
      </c>
      <c r="C84" s="4">
        <v>2819.3744000000002</v>
      </c>
      <c r="D84" s="4">
        <v>863.4905</v>
      </c>
      <c r="E84" s="4">
        <v>1955.8838000000001</v>
      </c>
      <c r="F84" s="5">
        <v>30795.565500000001</v>
      </c>
      <c r="G84" s="4">
        <v>137.90459999999999</v>
      </c>
      <c r="H84" s="4">
        <v>30657.660899999999</v>
      </c>
      <c r="I84" s="4">
        <v>166.22190000000001</v>
      </c>
      <c r="J84" s="5">
        <v>12752.5648</v>
      </c>
      <c r="K84" s="4">
        <v>12752.5648</v>
      </c>
      <c r="L84" s="4">
        <v>9406.0897999999997</v>
      </c>
      <c r="M84" s="4">
        <v>877.76110000000006</v>
      </c>
      <c r="N84" s="4">
        <v>148.1507</v>
      </c>
      <c r="O84" s="4">
        <v>8380.1779999999999</v>
      </c>
      <c r="P84" s="4">
        <v>4405.5267000000003</v>
      </c>
      <c r="Q84" s="4">
        <v>-4729.3666999999996</v>
      </c>
      <c r="R84" s="4">
        <v>65074.709799999997</v>
      </c>
      <c r="S84" s="4">
        <v>908.74670000000003</v>
      </c>
      <c r="T84" s="4">
        <v>643.76829999999995</v>
      </c>
      <c r="U84" s="4">
        <v>264.97840000000002</v>
      </c>
      <c r="V84" s="4">
        <v>7184.8221999999996</v>
      </c>
      <c r="W84" s="4">
        <v>7184.8221999999996</v>
      </c>
      <c r="X84" s="4">
        <v>53011.605900000002</v>
      </c>
      <c r="Y84" s="4">
        <v>50855.4467</v>
      </c>
      <c r="Z84" s="4">
        <v>2156.1592000000001</v>
      </c>
      <c r="AA84" s="4">
        <v>3969.5349999999999</v>
      </c>
    </row>
    <row r="85" spans="1:27" x14ac:dyDescent="0.2">
      <c r="A85" s="3">
        <v>44986</v>
      </c>
      <c r="B85" s="4">
        <v>61037.89</v>
      </c>
      <c r="C85" s="4">
        <v>3606.1459</v>
      </c>
      <c r="D85" s="4">
        <v>1161.1378999999999</v>
      </c>
      <c r="E85" s="4">
        <v>2445.0079999999998</v>
      </c>
      <c r="F85" s="5">
        <v>30479.1643</v>
      </c>
      <c r="G85" s="4">
        <v>240.47880000000001</v>
      </c>
      <c r="H85" s="4">
        <v>30238.6855</v>
      </c>
      <c r="I85" s="4">
        <v>174.59280000000001</v>
      </c>
      <c r="J85" s="5">
        <v>13006.1167</v>
      </c>
      <c r="K85" s="4">
        <v>13006.1167</v>
      </c>
      <c r="L85" s="4">
        <v>9506.5328000000009</v>
      </c>
      <c r="M85" s="4">
        <v>872.39589999999998</v>
      </c>
      <c r="N85" s="4">
        <v>174.8877</v>
      </c>
      <c r="O85" s="4">
        <v>8459.2492000000002</v>
      </c>
      <c r="P85" s="4">
        <v>4265.3374000000003</v>
      </c>
      <c r="Q85" s="4">
        <v>-5052.4665999999997</v>
      </c>
      <c r="R85" s="4">
        <v>66090.356599999999</v>
      </c>
      <c r="S85" s="4">
        <v>812.43870000000004</v>
      </c>
      <c r="T85" s="4">
        <v>579.5643</v>
      </c>
      <c r="U85" s="4">
        <v>232.87440000000001</v>
      </c>
      <c r="V85" s="4">
        <v>7349.4045999999998</v>
      </c>
      <c r="W85" s="4">
        <v>7349.4045999999998</v>
      </c>
      <c r="X85" s="4">
        <v>54125.280200000001</v>
      </c>
      <c r="Y85" s="4">
        <v>51986.729200000002</v>
      </c>
      <c r="Z85" s="4">
        <v>2138.5509999999999</v>
      </c>
      <c r="AA85" s="4">
        <v>3803.2332000000001</v>
      </c>
    </row>
    <row r="86" spans="1:27" x14ac:dyDescent="0.2">
      <c r="A86" s="3">
        <v>45078</v>
      </c>
      <c r="B86" s="4">
        <v>61696.9689</v>
      </c>
      <c r="C86" s="4">
        <v>3419.1480000000001</v>
      </c>
      <c r="D86" s="4">
        <v>974.94880000000001</v>
      </c>
      <c r="E86" s="4">
        <v>2444.1992</v>
      </c>
      <c r="F86" s="5">
        <v>30993.410500000002</v>
      </c>
      <c r="G86" s="4">
        <v>409.80070000000001</v>
      </c>
      <c r="H86" s="4">
        <v>30583.609799999998</v>
      </c>
      <c r="I86" s="4">
        <v>163.17410000000001</v>
      </c>
      <c r="J86" s="5">
        <v>13264.349899999999</v>
      </c>
      <c r="K86" s="4">
        <v>13264.349899999999</v>
      </c>
      <c r="L86" s="4">
        <v>9536.3021000000008</v>
      </c>
      <c r="M86" s="4">
        <v>839.74829999999997</v>
      </c>
      <c r="N86" s="4">
        <v>225.74619999999999</v>
      </c>
      <c r="O86" s="4">
        <v>8470.8076000000001</v>
      </c>
      <c r="P86" s="4">
        <v>4320.5843000000004</v>
      </c>
      <c r="Q86" s="4">
        <v>-5905.9696000000004</v>
      </c>
      <c r="R86" s="4">
        <v>67602.938599999994</v>
      </c>
      <c r="S86" s="4">
        <v>905.33349999999996</v>
      </c>
      <c r="T86" s="4">
        <v>648.18409999999994</v>
      </c>
      <c r="U86" s="4">
        <v>257.14940000000001</v>
      </c>
      <c r="V86" s="4">
        <v>7505.0069000000003</v>
      </c>
      <c r="W86" s="4">
        <v>7505.0069000000003</v>
      </c>
      <c r="X86" s="4">
        <v>55505.927799999998</v>
      </c>
      <c r="Y86" s="4">
        <v>53388.3891</v>
      </c>
      <c r="Z86" s="4">
        <v>2117.5387000000001</v>
      </c>
      <c r="AA86" s="4">
        <v>3686.6703000000002</v>
      </c>
    </row>
    <row r="87" spans="1:27" x14ac:dyDescent="0.2">
      <c r="A87" s="3">
        <v>45170</v>
      </c>
      <c r="B87" s="4">
        <v>61589.161</v>
      </c>
      <c r="C87" s="4">
        <v>2497.7163</v>
      </c>
      <c r="D87" s="4">
        <v>555.66049999999996</v>
      </c>
      <c r="E87" s="4">
        <v>1942.0556999999999</v>
      </c>
      <c r="F87" s="5">
        <v>30771.357599999999</v>
      </c>
      <c r="G87" s="4">
        <v>363.45100000000002</v>
      </c>
      <c r="H87" s="4">
        <v>30407.906599999998</v>
      </c>
      <c r="I87" s="4">
        <v>109.82729999999999</v>
      </c>
      <c r="J87" s="5">
        <v>13372.3642</v>
      </c>
      <c r="K87" s="4">
        <v>13372.3642</v>
      </c>
      <c r="L87" s="4">
        <v>9987.8588999999993</v>
      </c>
      <c r="M87" s="4">
        <v>827.05079999999998</v>
      </c>
      <c r="N87" s="4">
        <v>240.04259999999999</v>
      </c>
      <c r="O87" s="4">
        <v>8920.7654999999995</v>
      </c>
      <c r="P87" s="4">
        <v>4850.0367999999999</v>
      </c>
      <c r="Q87" s="4">
        <v>-7164.3167999999996</v>
      </c>
      <c r="R87" s="4">
        <v>68753.477899999998</v>
      </c>
      <c r="S87" s="4">
        <v>993.73140000000001</v>
      </c>
      <c r="T87" s="4">
        <v>716.85</v>
      </c>
      <c r="U87" s="4">
        <v>276.88139999999999</v>
      </c>
      <c r="V87" s="4">
        <v>7573.8375999999998</v>
      </c>
      <c r="W87" s="4">
        <v>7573.8375999999998</v>
      </c>
      <c r="X87" s="4">
        <v>56313.514499999997</v>
      </c>
      <c r="Y87" s="4">
        <v>54133.804400000001</v>
      </c>
      <c r="Z87" s="4">
        <v>2179.7100999999998</v>
      </c>
      <c r="AA87" s="4">
        <v>3872.3944000000001</v>
      </c>
    </row>
    <row r="88" spans="1:27" x14ac:dyDescent="0.2">
      <c r="A88" s="3">
        <v>45261</v>
      </c>
      <c r="B88" s="4">
        <v>63954.273999999998</v>
      </c>
      <c r="C88" s="4">
        <v>2736.4535999999998</v>
      </c>
      <c r="D88" s="4">
        <v>746.8279</v>
      </c>
      <c r="E88" s="4">
        <v>1989.6258</v>
      </c>
      <c r="F88" s="5">
        <v>32004.124</v>
      </c>
      <c r="G88" s="4">
        <v>302.2878</v>
      </c>
      <c r="H88" s="4">
        <v>31701.836200000002</v>
      </c>
      <c r="I88" s="4">
        <v>98.268900000000002</v>
      </c>
      <c r="J88" s="5">
        <v>13867.072200000001</v>
      </c>
      <c r="K88" s="4">
        <v>13867.072200000001</v>
      </c>
      <c r="L88" s="4">
        <v>10422.836600000001</v>
      </c>
      <c r="M88" s="4">
        <v>869.55269999999996</v>
      </c>
      <c r="N88" s="4">
        <v>252.7492</v>
      </c>
      <c r="O88" s="4">
        <v>9300.5347000000002</v>
      </c>
      <c r="P88" s="4">
        <v>4825.5187999999998</v>
      </c>
      <c r="Q88" s="4">
        <v>-6429.0231000000003</v>
      </c>
      <c r="R88" s="4">
        <v>70383.297099999996</v>
      </c>
      <c r="S88" s="4">
        <v>717.59439999999995</v>
      </c>
      <c r="T88" s="4">
        <v>517.87829999999997</v>
      </c>
      <c r="U88" s="4">
        <v>199.71610000000001</v>
      </c>
      <c r="V88" s="4">
        <v>7720.9742999999999</v>
      </c>
      <c r="W88" s="4">
        <v>7720.9742999999999</v>
      </c>
      <c r="X88" s="4">
        <v>57843.9444</v>
      </c>
      <c r="Y88" s="4">
        <v>55644.804799999998</v>
      </c>
      <c r="Z88" s="4">
        <v>2199.1396</v>
      </c>
      <c r="AA88" s="4">
        <v>4100.7839999999997</v>
      </c>
    </row>
    <row r="89" spans="1:27" x14ac:dyDescent="0.2">
      <c r="A89" s="3">
        <v>45352</v>
      </c>
      <c r="B89" s="4">
        <v>65574.592900000003</v>
      </c>
      <c r="C89" s="4">
        <v>2106.7141000000001</v>
      </c>
      <c r="D89" s="4">
        <v>510.10390000000001</v>
      </c>
      <c r="E89" s="4">
        <v>1596.6102000000001</v>
      </c>
      <c r="F89" s="5">
        <v>32926.982499999998</v>
      </c>
      <c r="G89" s="4">
        <v>250.01240000000001</v>
      </c>
      <c r="H89" s="4">
        <v>32676.970099999999</v>
      </c>
      <c r="I89" s="4">
        <v>167.471</v>
      </c>
      <c r="J89" s="5">
        <v>14312.5317</v>
      </c>
      <c r="K89" s="4">
        <v>14312.5317</v>
      </c>
      <c r="L89" s="4">
        <v>11127.816500000001</v>
      </c>
      <c r="M89" s="4">
        <v>926.02700000000004</v>
      </c>
      <c r="N89" s="4">
        <v>291.36619999999999</v>
      </c>
      <c r="O89" s="4">
        <v>9910.4233000000004</v>
      </c>
      <c r="P89" s="4">
        <v>4933.0771000000004</v>
      </c>
      <c r="Q89" s="4">
        <v>-6801.7272999999996</v>
      </c>
      <c r="R89" s="4">
        <v>72376.320200000002</v>
      </c>
      <c r="S89" s="4">
        <v>1260.4087999999999</v>
      </c>
      <c r="T89" s="4">
        <v>913.56079999999997</v>
      </c>
      <c r="U89" s="4">
        <v>346.84789999999998</v>
      </c>
      <c r="V89" s="4">
        <v>7960.6805000000004</v>
      </c>
      <c r="W89" s="4">
        <v>7960.6805000000004</v>
      </c>
      <c r="X89" s="4">
        <v>59133.650399999999</v>
      </c>
      <c r="Y89" s="4">
        <v>56893.507700000002</v>
      </c>
      <c r="Z89" s="4">
        <v>2240.1426999999999</v>
      </c>
      <c r="AA89" s="4">
        <v>4021.5805</v>
      </c>
    </row>
    <row r="90" spans="1:27" x14ac:dyDescent="0.2">
      <c r="A90" s="3">
        <v>45444</v>
      </c>
      <c r="B90" s="4">
        <v>65560.696500000005</v>
      </c>
      <c r="C90" s="4">
        <v>2159.8647000000001</v>
      </c>
      <c r="D90" s="4">
        <v>497.46749999999997</v>
      </c>
      <c r="E90" s="4">
        <v>1662.3972000000001</v>
      </c>
      <c r="F90" s="5">
        <v>32709.600200000001</v>
      </c>
      <c r="G90" s="4">
        <v>209.6797</v>
      </c>
      <c r="H90" s="4">
        <v>32499.9205</v>
      </c>
      <c r="I90" s="4">
        <v>84.616699999999994</v>
      </c>
      <c r="J90" s="5">
        <v>14594.8177</v>
      </c>
      <c r="K90" s="4">
        <v>14594.8177</v>
      </c>
      <c r="L90" s="4">
        <v>11127.696</v>
      </c>
      <c r="M90" s="4">
        <v>879.12850000000003</v>
      </c>
      <c r="N90" s="4">
        <v>281.67759999999998</v>
      </c>
      <c r="O90" s="4">
        <v>9966.8899000000001</v>
      </c>
      <c r="P90" s="4">
        <v>4884.1012000000001</v>
      </c>
      <c r="Q90" s="4">
        <v>-7644.5060999999996</v>
      </c>
      <c r="R90" s="4">
        <v>73205.202600000004</v>
      </c>
      <c r="S90" s="4">
        <v>988.73969999999997</v>
      </c>
      <c r="T90" s="4">
        <v>714.90430000000003</v>
      </c>
      <c r="U90" s="4">
        <v>273.83539999999999</v>
      </c>
      <c r="V90" s="4">
        <v>8070.7795999999998</v>
      </c>
      <c r="W90" s="4">
        <v>8070.7795999999998</v>
      </c>
      <c r="X90" s="4">
        <v>60415.367700000003</v>
      </c>
      <c r="Y90" s="4">
        <v>58206.693299999999</v>
      </c>
      <c r="Z90" s="4">
        <v>2208.6743999999999</v>
      </c>
      <c r="AA90" s="4">
        <v>3730.3155999999999</v>
      </c>
    </row>
    <row r="91" spans="1:27" x14ac:dyDescent="0.2">
      <c r="A91" s="3">
        <v>45536</v>
      </c>
      <c r="B91" s="4">
        <v>68450.655199999994</v>
      </c>
      <c r="C91" s="4">
        <v>2878.4591999999998</v>
      </c>
      <c r="D91" s="4">
        <v>846.68380000000002</v>
      </c>
      <c r="E91" s="4">
        <v>2031.7754</v>
      </c>
      <c r="F91" s="5">
        <v>34589.1567</v>
      </c>
      <c r="G91" s="4">
        <v>165.05959999999999</v>
      </c>
      <c r="H91" s="4">
        <v>34424.097099999999</v>
      </c>
      <c r="I91" s="4">
        <v>155.57859999999999</v>
      </c>
      <c r="J91" s="5">
        <v>14799.790800000001</v>
      </c>
      <c r="K91" s="4">
        <v>14799.790800000001</v>
      </c>
      <c r="L91" s="4">
        <v>11228.418799999999</v>
      </c>
      <c r="M91" s="4">
        <v>896.25329999999997</v>
      </c>
      <c r="N91" s="4">
        <v>299.95530000000002</v>
      </c>
      <c r="O91" s="4">
        <v>10032.2102</v>
      </c>
      <c r="P91" s="4">
        <v>4799.2510000000002</v>
      </c>
      <c r="Q91" s="4">
        <v>-5830.8388999999997</v>
      </c>
      <c r="R91" s="4">
        <v>74281.494099999996</v>
      </c>
      <c r="S91" s="4">
        <v>619.87030000000004</v>
      </c>
      <c r="T91" s="4">
        <v>439.80349999999999</v>
      </c>
      <c r="U91" s="4">
        <v>180.0668</v>
      </c>
      <c r="V91" s="4">
        <v>8397.3727999999992</v>
      </c>
      <c r="W91" s="4">
        <v>8397.3727999999992</v>
      </c>
      <c r="X91" s="4">
        <v>61131.895199999999</v>
      </c>
      <c r="Y91" s="4">
        <v>58882.204700000002</v>
      </c>
      <c r="Z91" s="4">
        <v>2249.6905000000002</v>
      </c>
      <c r="AA91" s="4">
        <v>4132.3558999999996</v>
      </c>
    </row>
    <row r="92" spans="1:27" x14ac:dyDescent="0.2">
      <c r="A92" s="3">
        <v>45627</v>
      </c>
      <c r="B92" s="4">
        <v>70432.970700000005</v>
      </c>
      <c r="C92" s="4">
        <v>2216.7745</v>
      </c>
      <c r="D92" s="4">
        <v>618.10519999999997</v>
      </c>
      <c r="E92" s="4">
        <v>1598.6693</v>
      </c>
      <c r="F92" s="5">
        <v>36317.280599999998</v>
      </c>
      <c r="G92" s="4">
        <v>141.73509999999999</v>
      </c>
      <c r="H92" s="4">
        <v>36175.5455</v>
      </c>
      <c r="I92" s="4">
        <v>-266.01749999999998</v>
      </c>
      <c r="J92" s="5">
        <v>15094.5</v>
      </c>
      <c r="K92" s="4">
        <v>15094.5</v>
      </c>
      <c r="L92" s="4">
        <v>11934.369699999999</v>
      </c>
      <c r="M92" s="4">
        <v>802.61009999999999</v>
      </c>
      <c r="N92" s="4">
        <v>282.6343</v>
      </c>
      <c r="O92" s="4">
        <v>10849.1253</v>
      </c>
      <c r="P92" s="4">
        <v>5136.0634</v>
      </c>
      <c r="Q92" s="4">
        <v>-6234.0262000000002</v>
      </c>
      <c r="R92" s="4">
        <v>76666.996899999998</v>
      </c>
      <c r="S92" s="4">
        <v>1104.1546000000001</v>
      </c>
      <c r="T92" s="4">
        <v>785.84839999999997</v>
      </c>
      <c r="U92" s="4">
        <v>318.30619999999999</v>
      </c>
      <c r="V92" s="4">
        <v>8431.9470000000001</v>
      </c>
      <c r="W92" s="4">
        <v>8431.9470000000001</v>
      </c>
      <c r="X92" s="4">
        <v>62770.976199999997</v>
      </c>
      <c r="Y92" s="4">
        <v>60455.3943</v>
      </c>
      <c r="Z92" s="4">
        <v>2315.5819000000001</v>
      </c>
      <c r="AA92" s="4">
        <v>4359.9189999999999</v>
      </c>
    </row>
    <row r="93" spans="1:27" x14ac:dyDescent="0.2">
      <c r="A93" s="3">
        <v>45717</v>
      </c>
      <c r="B93" s="4">
        <v>70932.495299999995</v>
      </c>
      <c r="C93" s="4">
        <v>2489.4648000000002</v>
      </c>
      <c r="D93" s="4">
        <v>767.00850000000003</v>
      </c>
      <c r="E93" s="4">
        <v>1722.4563000000001</v>
      </c>
      <c r="F93" s="5">
        <v>35812.904199999997</v>
      </c>
      <c r="G93" s="4">
        <v>151.4171</v>
      </c>
      <c r="H93" s="4">
        <v>35661.487200000003</v>
      </c>
      <c r="I93" s="4">
        <v>170.90700000000001</v>
      </c>
      <c r="J93" s="5">
        <v>15525.3992</v>
      </c>
      <c r="K93" s="4">
        <v>15525.3992</v>
      </c>
      <c r="L93" s="4">
        <v>11955.5658</v>
      </c>
      <c r="M93" s="4">
        <v>954.23080000000004</v>
      </c>
      <c r="N93" s="4">
        <v>312.35489999999999</v>
      </c>
      <c r="O93" s="4">
        <v>10688.98</v>
      </c>
      <c r="P93" s="4">
        <v>4978.2543999999998</v>
      </c>
      <c r="Q93" s="4">
        <v>-6735.6450999999997</v>
      </c>
      <c r="R93" s="4">
        <v>77668.140400000004</v>
      </c>
      <c r="S93" s="4">
        <v>653.02610000000004</v>
      </c>
      <c r="T93" s="4">
        <v>450.70260000000002</v>
      </c>
      <c r="U93" s="4">
        <v>202.3235</v>
      </c>
      <c r="V93" s="4">
        <v>8570.0390000000007</v>
      </c>
      <c r="W93" s="4">
        <v>8570.0390000000007</v>
      </c>
      <c r="X93" s="4">
        <v>64276.991800000003</v>
      </c>
      <c r="Y93" s="4">
        <v>61938.702499999999</v>
      </c>
      <c r="Z93" s="4">
        <v>2338.2892999999999</v>
      </c>
      <c r="AA93" s="4">
        <v>4168.0834999999997</v>
      </c>
    </row>
    <row r="94" spans="1:27" x14ac:dyDescent="0.2">
      <c r="A94" s="3">
        <v>45809</v>
      </c>
      <c r="B94" s="4">
        <v>72072.489199999996</v>
      </c>
      <c r="C94" s="4">
        <v>2655.4886000000001</v>
      </c>
      <c r="D94" s="4">
        <v>804.11519999999996</v>
      </c>
      <c r="E94" s="4">
        <v>1851.3733999999999</v>
      </c>
      <c r="F94" s="5">
        <v>36325.666700000002</v>
      </c>
      <c r="G94" s="4">
        <v>162.4571</v>
      </c>
      <c r="H94" s="4">
        <v>36163.209600000002</v>
      </c>
      <c r="I94" s="4">
        <v>81.237700000000004</v>
      </c>
      <c r="J94" s="5">
        <v>15638.4686</v>
      </c>
      <c r="K94" s="4">
        <v>15638.4686</v>
      </c>
      <c r="L94" s="4">
        <v>12478.705900000001</v>
      </c>
      <c r="M94" s="4">
        <v>950.8365</v>
      </c>
      <c r="N94" s="4">
        <v>350.92759999999998</v>
      </c>
      <c r="O94" s="4">
        <v>11176.941800000001</v>
      </c>
      <c r="P94" s="4">
        <v>4892.9216999999999</v>
      </c>
      <c r="Q94" s="4">
        <v>-7080.0334000000003</v>
      </c>
      <c r="R94" s="4">
        <v>79152.522700000001</v>
      </c>
      <c r="S94" s="4">
        <v>598.41719999999998</v>
      </c>
      <c r="T94" s="4">
        <v>412.56889999999999</v>
      </c>
      <c r="U94" s="4">
        <v>185.84829999999999</v>
      </c>
      <c r="V94" s="4">
        <v>8691.7127</v>
      </c>
      <c r="W94" s="4">
        <v>8691.7127</v>
      </c>
      <c r="X94" s="4">
        <v>66016.031000000003</v>
      </c>
      <c r="Y94" s="4">
        <v>63658.647400000002</v>
      </c>
      <c r="Z94" s="4">
        <v>2357.3836000000001</v>
      </c>
      <c r="AA94" s="4">
        <v>3846.3616999999999</v>
      </c>
    </row>
    <row r="95" spans="1:27" x14ac:dyDescent="0.2">
      <c r="A95" s="3">
        <v>45901</v>
      </c>
      <c r="B95" s="4">
        <v>73844.919800000003</v>
      </c>
      <c r="C95" s="4">
        <v>2156.0691999999999</v>
      </c>
      <c r="D95" s="4">
        <v>590.1413</v>
      </c>
      <c r="E95" s="4">
        <v>1565.9278999999999</v>
      </c>
      <c r="F95" s="5">
        <v>38001.915099999998</v>
      </c>
      <c r="G95" s="4">
        <v>184.32910000000001</v>
      </c>
      <c r="H95" s="4">
        <v>37817.586000000003</v>
      </c>
      <c r="I95" s="4">
        <v>-103.4671</v>
      </c>
      <c r="J95" s="5">
        <v>15829.423500000001</v>
      </c>
      <c r="K95" s="4">
        <v>15829.423500000001</v>
      </c>
      <c r="L95" s="4">
        <v>12900.644899999999</v>
      </c>
      <c r="M95" s="4">
        <v>997.17780000000005</v>
      </c>
      <c r="N95" s="4">
        <v>381.52109999999999</v>
      </c>
      <c r="O95" s="4">
        <v>11521.946099999999</v>
      </c>
      <c r="P95" s="4">
        <v>5060.3341</v>
      </c>
      <c r="Q95" s="4">
        <v>-6653.0963000000002</v>
      </c>
      <c r="R95" s="4">
        <v>80498.016099999993</v>
      </c>
      <c r="S95" s="4">
        <v>591.75070000000005</v>
      </c>
      <c r="T95" s="4">
        <v>406.3399</v>
      </c>
      <c r="U95" s="4">
        <v>185.41069999999999</v>
      </c>
      <c r="V95" s="4">
        <v>8781.5267000000003</v>
      </c>
      <c r="W95" s="4">
        <v>8781.5267000000003</v>
      </c>
      <c r="X95" s="4">
        <v>67086.474400000006</v>
      </c>
      <c r="Y95" s="4">
        <v>64770.683900000004</v>
      </c>
      <c r="Z95" s="4">
        <v>2315.7905999999998</v>
      </c>
      <c r="AA95" s="4">
        <v>4038.2642999999998</v>
      </c>
    </row>
  </sheetData>
  <mergeCells count="2">
    <mergeCell ref="A1:AA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9E44-AC40-374A-843C-E7808EE5F146}">
  <sheetPr>
    <tabColor rgb="FFC00000"/>
  </sheetPr>
  <dimension ref="A1:R95"/>
  <sheetViews>
    <sheetView workbookViewId="0">
      <selection activeCell="I2" sqref="I2"/>
    </sheetView>
  </sheetViews>
  <sheetFormatPr baseColWidth="10" defaultRowHeight="16" x14ac:dyDescent="0.2"/>
  <sheetData>
    <row r="1" spans="1:18" x14ac:dyDescent="0.2">
      <c r="A1" s="7" t="s">
        <v>56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</row>
    <row r="2" spans="1:18" x14ac:dyDescent="0.2">
      <c r="A2" s="8" t="s">
        <v>161</v>
      </c>
      <c r="B2" s="8"/>
      <c r="C2" t="s">
        <v>162</v>
      </c>
      <c r="D2" s="1">
        <f>B5-J5-M5</f>
        <v>1717.4375</v>
      </c>
      <c r="E2" s="1">
        <f>C5+F5+K5+L5</f>
        <v>1717.4376119999999</v>
      </c>
      <c r="F2" t="s">
        <v>163</v>
      </c>
      <c r="G2" s="1">
        <f>O5-R5</f>
        <v>1705.6178</v>
      </c>
      <c r="H2" s="1">
        <f>Q5</f>
        <v>1705.6178</v>
      </c>
    </row>
    <row r="3" spans="1:18" ht="136" x14ac:dyDescent="0.2">
      <c r="A3" s="2" t="s">
        <v>2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7</v>
      </c>
      <c r="G3" s="2" t="s">
        <v>8</v>
      </c>
      <c r="H3" s="2" t="s">
        <v>9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39</v>
      </c>
      <c r="O3" s="2" t="s">
        <v>22</v>
      </c>
      <c r="P3" s="2" t="s">
        <v>66</v>
      </c>
      <c r="Q3" s="2" t="s">
        <v>67</v>
      </c>
      <c r="R3" s="2" t="s">
        <v>68</v>
      </c>
    </row>
    <row r="4" spans="1:18" x14ac:dyDescent="0.2">
      <c r="A4" s="3">
        <v>37591</v>
      </c>
      <c r="B4" s="4">
        <v>2588.0189999999998</v>
      </c>
      <c r="C4" s="4">
        <v>2153.1221999999998</v>
      </c>
      <c r="D4" s="4">
        <v>17.936800000000002</v>
      </c>
      <c r="E4" s="4">
        <v>2135.1855</v>
      </c>
      <c r="F4" s="5">
        <v>427.0994</v>
      </c>
      <c r="G4" s="4">
        <v>347.9393</v>
      </c>
      <c r="H4" s="4">
        <v>79.1601</v>
      </c>
      <c r="I4" s="4">
        <v>0.11020000000000001</v>
      </c>
      <c r="J4" s="4">
        <v>0</v>
      </c>
      <c r="K4" s="4">
        <v>7.0699999999999999E-2</v>
      </c>
      <c r="L4" s="4">
        <v>7.0736999999999398E-2</v>
      </c>
      <c r="M4" s="4">
        <v>7.6871999999999998</v>
      </c>
      <c r="N4" s="4">
        <v>0</v>
      </c>
      <c r="O4" s="4">
        <v>2588.0189999999998</v>
      </c>
      <c r="P4" s="4">
        <v>2562.395</v>
      </c>
      <c r="Q4" s="4">
        <v>2562.395</v>
      </c>
      <c r="R4" s="4">
        <v>25.623999999999999</v>
      </c>
    </row>
    <row r="5" spans="1:18" x14ac:dyDescent="0.2">
      <c r="A5" s="3">
        <v>37681</v>
      </c>
      <c r="B5" s="4">
        <v>1722.674</v>
      </c>
      <c r="C5" s="4">
        <v>1332.4758999999999</v>
      </c>
      <c r="D5" s="4">
        <v>11.939299999999999</v>
      </c>
      <c r="E5" s="4">
        <v>1320.5365999999999</v>
      </c>
      <c r="F5" s="5">
        <v>384.62090000000001</v>
      </c>
      <c r="G5" s="4">
        <v>266.93920000000003</v>
      </c>
      <c r="H5" s="4">
        <v>117.6816</v>
      </c>
      <c r="I5" s="4">
        <v>0.46039999999999998</v>
      </c>
      <c r="J5" s="4">
        <v>0.1196</v>
      </c>
      <c r="K5" s="4">
        <v>0.27589999999999998</v>
      </c>
      <c r="L5" s="4">
        <v>6.4912000000000206E-2</v>
      </c>
      <c r="M5" s="4">
        <v>5.1169000000000002</v>
      </c>
      <c r="N5" s="4">
        <v>0</v>
      </c>
      <c r="O5" s="4">
        <v>1722.674</v>
      </c>
      <c r="P5" s="4">
        <v>1705.6178</v>
      </c>
      <c r="Q5" s="4">
        <v>1705.6178</v>
      </c>
      <c r="R5" s="4">
        <v>17.0562</v>
      </c>
    </row>
    <row r="6" spans="1:18" x14ac:dyDescent="0.2">
      <c r="A6" s="3">
        <v>37773</v>
      </c>
      <c r="B6" s="4">
        <v>2246.3616999999999</v>
      </c>
      <c r="C6" s="4">
        <v>1896.0309</v>
      </c>
      <c r="D6" s="4">
        <v>15.5688</v>
      </c>
      <c r="E6" s="4">
        <v>1880.4621</v>
      </c>
      <c r="F6" s="5">
        <v>342.82600000000002</v>
      </c>
      <c r="G6" s="4">
        <v>161.1559</v>
      </c>
      <c r="H6" s="4">
        <v>181.67009999999999</v>
      </c>
      <c r="I6" s="4">
        <v>0.83240000000000003</v>
      </c>
      <c r="J6" s="4">
        <v>0.2147</v>
      </c>
      <c r="K6" s="4">
        <v>0.50329999999999997</v>
      </c>
      <c r="L6" s="4">
        <v>0.11433599999999999</v>
      </c>
      <c r="M6" s="4">
        <v>6.6723999999999997</v>
      </c>
      <c r="N6" s="4">
        <v>0</v>
      </c>
      <c r="O6" s="4">
        <v>2246.3616999999999</v>
      </c>
      <c r="P6" s="4">
        <v>2224.1205</v>
      </c>
      <c r="Q6" s="4">
        <v>2224.1205</v>
      </c>
      <c r="R6" s="4">
        <v>22.241199999999999</v>
      </c>
    </row>
    <row r="7" spans="1:18" x14ac:dyDescent="0.2">
      <c r="A7" s="3">
        <v>37865</v>
      </c>
      <c r="B7" s="4">
        <v>2368.1860000000001</v>
      </c>
      <c r="C7" s="4">
        <v>2043.5518999999999</v>
      </c>
      <c r="D7" s="4">
        <v>16.4132</v>
      </c>
      <c r="E7" s="4">
        <v>2027.1387</v>
      </c>
      <c r="F7" s="5">
        <v>316.2944</v>
      </c>
      <c r="G7" s="4">
        <v>127.6296</v>
      </c>
      <c r="H7" s="4">
        <v>188.66480000000001</v>
      </c>
      <c r="I7" s="4">
        <v>1.3056000000000001</v>
      </c>
      <c r="J7" s="4">
        <v>0.35020000000000001</v>
      </c>
      <c r="K7" s="4">
        <v>0.77380000000000004</v>
      </c>
      <c r="L7" s="4">
        <v>0.18159600000000001</v>
      </c>
      <c r="M7" s="4">
        <v>7.0342000000000002</v>
      </c>
      <c r="N7" s="4">
        <v>0</v>
      </c>
      <c r="O7" s="4">
        <v>2368.1860000000001</v>
      </c>
      <c r="P7" s="4">
        <v>2344.7386999999999</v>
      </c>
      <c r="Q7" s="4">
        <v>2344.7386999999999</v>
      </c>
      <c r="R7" s="4">
        <v>23.447399999999998</v>
      </c>
    </row>
    <row r="8" spans="1:18" x14ac:dyDescent="0.2">
      <c r="A8" s="3">
        <v>37956</v>
      </c>
      <c r="B8" s="4">
        <v>2684.4364999999998</v>
      </c>
      <c r="C8" s="4">
        <v>2239.3842</v>
      </c>
      <c r="D8" s="4">
        <v>18.605</v>
      </c>
      <c r="E8" s="4">
        <v>2220.7791999999999</v>
      </c>
      <c r="F8" s="5">
        <v>435.5256</v>
      </c>
      <c r="G8" s="4">
        <v>131.29929999999999</v>
      </c>
      <c r="H8" s="4">
        <v>304.22640000000001</v>
      </c>
      <c r="I8" s="4">
        <v>1.5530999999999999</v>
      </c>
      <c r="J8" s="4">
        <v>0.39150000000000001</v>
      </c>
      <c r="K8" s="4">
        <v>0.37990000000000002</v>
      </c>
      <c r="L8" s="4">
        <v>0.78162700000000096</v>
      </c>
      <c r="M8" s="4">
        <v>7.9736000000000002</v>
      </c>
      <c r="N8" s="4">
        <v>0</v>
      </c>
      <c r="O8" s="4">
        <v>2684.4364999999998</v>
      </c>
      <c r="P8" s="4">
        <v>2657.8579</v>
      </c>
      <c r="Q8" s="4">
        <v>2657.8579</v>
      </c>
      <c r="R8" s="4">
        <v>26.578600000000002</v>
      </c>
    </row>
    <row r="9" spans="1:18" x14ac:dyDescent="0.2">
      <c r="A9" s="3">
        <v>38047</v>
      </c>
      <c r="B9" s="4">
        <v>3114.6325000000002</v>
      </c>
      <c r="C9" s="4">
        <v>2544.4859999999999</v>
      </c>
      <c r="D9" s="4">
        <v>21.586600000000001</v>
      </c>
      <c r="E9" s="4">
        <v>2522.8993999999998</v>
      </c>
      <c r="F9" s="5">
        <v>559.64890000000003</v>
      </c>
      <c r="G9" s="4">
        <v>155.61089999999999</v>
      </c>
      <c r="H9" s="4">
        <v>404.03800000000001</v>
      </c>
      <c r="I9" s="4">
        <v>1.2462</v>
      </c>
      <c r="J9" s="4">
        <v>0.43840000000000001</v>
      </c>
      <c r="K9" s="4">
        <v>0</v>
      </c>
      <c r="L9" s="4">
        <v>0.80781700000000101</v>
      </c>
      <c r="M9" s="4">
        <v>9.2514000000000003</v>
      </c>
      <c r="N9" s="4">
        <v>0</v>
      </c>
      <c r="O9" s="4">
        <v>3114.6325000000002</v>
      </c>
      <c r="P9" s="4">
        <v>3083.7945</v>
      </c>
      <c r="Q9" s="4">
        <v>3083.7945</v>
      </c>
      <c r="R9" s="4">
        <v>30.837900000000001</v>
      </c>
    </row>
    <row r="10" spans="1:18" x14ac:dyDescent="0.2">
      <c r="A10" s="3">
        <v>38139</v>
      </c>
      <c r="B10" s="4">
        <v>3045.6619999999998</v>
      </c>
      <c r="C10" s="4">
        <v>2439.2761</v>
      </c>
      <c r="D10" s="4">
        <v>21.108499999999999</v>
      </c>
      <c r="E10" s="4">
        <v>2418.1676000000002</v>
      </c>
      <c r="F10" s="5">
        <v>596.20219999999995</v>
      </c>
      <c r="G10" s="4">
        <v>78.979200000000006</v>
      </c>
      <c r="H10" s="4">
        <v>517.22310000000004</v>
      </c>
      <c r="I10" s="4">
        <v>1.1372</v>
      </c>
      <c r="J10" s="4">
        <v>0.50739999999999996</v>
      </c>
      <c r="K10" s="4">
        <v>0.24660000000000001</v>
      </c>
      <c r="L10" s="4">
        <v>0.383218</v>
      </c>
      <c r="M10" s="4">
        <v>9.0465</v>
      </c>
      <c r="N10" s="4">
        <v>0</v>
      </c>
      <c r="O10" s="4">
        <v>3045.6619999999998</v>
      </c>
      <c r="P10" s="4">
        <v>3015.5070000000001</v>
      </c>
      <c r="Q10" s="4">
        <v>3015.5070000000001</v>
      </c>
      <c r="R10" s="4">
        <v>30.155100000000001</v>
      </c>
    </row>
    <row r="11" spans="1:18" x14ac:dyDescent="0.2">
      <c r="A11" s="3">
        <v>38231</v>
      </c>
      <c r="B11" s="4">
        <v>3190.4101000000001</v>
      </c>
      <c r="C11" s="4">
        <v>2624.4758000000002</v>
      </c>
      <c r="D11" s="4">
        <v>22.111799999999999</v>
      </c>
      <c r="E11" s="4">
        <v>2602.364</v>
      </c>
      <c r="F11" s="5">
        <v>554.88019999999995</v>
      </c>
      <c r="G11" s="4">
        <v>66.402900000000002</v>
      </c>
      <c r="H11" s="4">
        <v>488.47719999999998</v>
      </c>
      <c r="I11" s="4">
        <v>1.5777000000000001</v>
      </c>
      <c r="J11" s="4">
        <v>0.8599</v>
      </c>
      <c r="K11" s="4">
        <v>0.28160000000000002</v>
      </c>
      <c r="L11" s="4">
        <v>0.43629699999999999</v>
      </c>
      <c r="M11" s="4">
        <v>9.4764999999999997</v>
      </c>
      <c r="N11" s="4">
        <v>0</v>
      </c>
      <c r="O11" s="4">
        <v>3190.4101000000001</v>
      </c>
      <c r="P11" s="4">
        <v>3158.8218999999999</v>
      </c>
      <c r="Q11" s="4">
        <v>3158.8218999999999</v>
      </c>
      <c r="R11" s="4">
        <v>31.588200000000001</v>
      </c>
    </row>
    <row r="12" spans="1:18" x14ac:dyDescent="0.2">
      <c r="A12" s="3">
        <v>38322</v>
      </c>
      <c r="B12" s="4">
        <v>3136.1552000000001</v>
      </c>
      <c r="C12" s="4">
        <v>2765.9863999999998</v>
      </c>
      <c r="D12" s="4">
        <v>21.735700000000001</v>
      </c>
      <c r="E12" s="4">
        <v>2744.2507000000001</v>
      </c>
      <c r="F12" s="5">
        <v>359.36020000000002</v>
      </c>
      <c r="G12" s="4">
        <v>20.383700000000001</v>
      </c>
      <c r="H12" s="4">
        <v>338.97660000000002</v>
      </c>
      <c r="I12" s="4">
        <v>1.4933000000000001</v>
      </c>
      <c r="J12" s="4">
        <v>0.83709999999999996</v>
      </c>
      <c r="K12" s="4">
        <v>0.14430000000000001</v>
      </c>
      <c r="L12" s="4">
        <v>0.51182300000000003</v>
      </c>
      <c r="M12" s="4">
        <v>9.3153000000000006</v>
      </c>
      <c r="N12" s="4">
        <v>0</v>
      </c>
      <c r="O12" s="4">
        <v>3136.1552000000001</v>
      </c>
      <c r="P12" s="4">
        <v>3105.1041</v>
      </c>
      <c r="Q12" s="4">
        <v>3105.1041</v>
      </c>
      <c r="R12" s="4">
        <v>31.050999999999998</v>
      </c>
    </row>
    <row r="13" spans="1:18" x14ac:dyDescent="0.2">
      <c r="A13" s="3">
        <v>38412</v>
      </c>
      <c r="B13" s="4">
        <v>3508.5162</v>
      </c>
      <c r="C13" s="4">
        <v>3142.2242000000001</v>
      </c>
      <c r="D13" s="4">
        <v>24.316400000000002</v>
      </c>
      <c r="E13" s="4">
        <v>3117.9077000000002</v>
      </c>
      <c r="F13" s="5">
        <v>354.29930000000002</v>
      </c>
      <c r="G13" s="4">
        <v>32.994</v>
      </c>
      <c r="H13" s="4">
        <v>321.30529999999999</v>
      </c>
      <c r="I13" s="4">
        <v>1.5713999999999999</v>
      </c>
      <c r="J13" s="4">
        <v>0.88360000000000005</v>
      </c>
      <c r="K13" s="4">
        <v>8.0500000000000002E-2</v>
      </c>
      <c r="L13" s="4">
        <v>0.60736900000000005</v>
      </c>
      <c r="M13" s="4">
        <v>10.4213</v>
      </c>
      <c r="N13" s="4">
        <v>0</v>
      </c>
      <c r="O13" s="4">
        <v>3508.5162</v>
      </c>
      <c r="P13" s="4">
        <v>3473.7784000000001</v>
      </c>
      <c r="Q13" s="4">
        <v>3473.7784000000001</v>
      </c>
      <c r="R13" s="4">
        <v>34.7378</v>
      </c>
    </row>
    <row r="14" spans="1:18" x14ac:dyDescent="0.2">
      <c r="A14" s="3">
        <v>38504</v>
      </c>
      <c r="B14" s="4">
        <v>3295.1929</v>
      </c>
      <c r="C14" s="4">
        <v>2923.6738999999998</v>
      </c>
      <c r="D14" s="4">
        <v>22.838000000000001</v>
      </c>
      <c r="E14" s="4">
        <v>2900.8359</v>
      </c>
      <c r="F14" s="5">
        <v>360.33800000000002</v>
      </c>
      <c r="G14" s="4">
        <v>50.573999999999998</v>
      </c>
      <c r="H14" s="4">
        <v>309.76389999999998</v>
      </c>
      <c r="I14" s="4">
        <v>1.3933</v>
      </c>
      <c r="J14" s="4">
        <v>0.69350000000000001</v>
      </c>
      <c r="K14" s="4">
        <v>0.22020000000000001</v>
      </c>
      <c r="L14" s="4">
        <v>0.47966900000000001</v>
      </c>
      <c r="M14" s="4">
        <v>9.7876999999999992</v>
      </c>
      <c r="N14" s="4">
        <v>0</v>
      </c>
      <c r="O14" s="4">
        <v>3295.1929</v>
      </c>
      <c r="P14" s="4">
        <v>3262.5672</v>
      </c>
      <c r="Q14" s="4">
        <v>3262.5672</v>
      </c>
      <c r="R14" s="4">
        <v>32.625700000000002</v>
      </c>
    </row>
    <row r="15" spans="1:18" x14ac:dyDescent="0.2">
      <c r="A15" s="3">
        <v>38596</v>
      </c>
      <c r="B15" s="4">
        <v>3285.3375999999998</v>
      </c>
      <c r="C15" s="4">
        <v>2870.9942000000001</v>
      </c>
      <c r="D15" s="4">
        <v>22.7697</v>
      </c>
      <c r="E15" s="4">
        <v>2848.2244999999998</v>
      </c>
      <c r="F15" s="5">
        <v>403.01620000000003</v>
      </c>
      <c r="G15" s="4">
        <v>80.772599999999997</v>
      </c>
      <c r="H15" s="4">
        <v>322.24360000000001</v>
      </c>
      <c r="I15" s="4">
        <v>1.5688</v>
      </c>
      <c r="J15" s="4">
        <v>0.81630000000000003</v>
      </c>
      <c r="K15" s="4">
        <v>0.1643</v>
      </c>
      <c r="L15" s="4">
        <v>0.58821900000000005</v>
      </c>
      <c r="M15" s="4">
        <v>9.7584</v>
      </c>
      <c r="N15" s="4">
        <v>0</v>
      </c>
      <c r="O15" s="4">
        <v>3285.3375999999998</v>
      </c>
      <c r="P15" s="4">
        <v>3252.8094999999998</v>
      </c>
      <c r="Q15" s="4">
        <v>3252.8094999999998</v>
      </c>
      <c r="R15" s="4">
        <v>32.528100000000002</v>
      </c>
    </row>
    <row r="16" spans="1:18" x14ac:dyDescent="0.2">
      <c r="A16" s="3">
        <v>38687</v>
      </c>
      <c r="B16" s="4">
        <v>3608.7271999999998</v>
      </c>
      <c r="C16" s="4">
        <v>3252.4886000000001</v>
      </c>
      <c r="D16" s="4">
        <v>25.010999999999999</v>
      </c>
      <c r="E16" s="4">
        <v>3227.4776000000002</v>
      </c>
      <c r="F16" s="5">
        <v>343.76670000000001</v>
      </c>
      <c r="G16" s="4">
        <v>37.668799999999997</v>
      </c>
      <c r="H16" s="4">
        <v>306.09780000000001</v>
      </c>
      <c r="I16" s="4">
        <v>1.7529999999999999</v>
      </c>
      <c r="J16" s="4">
        <v>0.98140000000000005</v>
      </c>
      <c r="K16" s="4">
        <v>0.20680000000000001</v>
      </c>
      <c r="L16" s="4">
        <v>0.56477500000000003</v>
      </c>
      <c r="M16" s="4">
        <v>10.718999999999999</v>
      </c>
      <c r="N16" s="4">
        <v>0</v>
      </c>
      <c r="O16" s="4">
        <v>3608.7271999999998</v>
      </c>
      <c r="P16" s="4">
        <v>3572.9973</v>
      </c>
      <c r="Q16" s="4">
        <v>3572.9973</v>
      </c>
      <c r="R16" s="4">
        <v>35.729999999999997</v>
      </c>
    </row>
    <row r="17" spans="1:18" x14ac:dyDescent="0.2">
      <c r="A17" s="3">
        <v>38777</v>
      </c>
      <c r="B17" s="4">
        <v>4287.8491999999997</v>
      </c>
      <c r="C17" s="4">
        <v>3931.6401999999998</v>
      </c>
      <c r="D17" s="4">
        <v>29.7178</v>
      </c>
      <c r="E17" s="4">
        <v>3901.9225000000001</v>
      </c>
      <c r="F17" s="5">
        <v>341.43880000000001</v>
      </c>
      <c r="G17" s="4">
        <v>35.009</v>
      </c>
      <c r="H17" s="4">
        <v>306.4298</v>
      </c>
      <c r="I17" s="4">
        <v>2.0339999999999998</v>
      </c>
      <c r="J17" s="4">
        <v>0.99180000000000001</v>
      </c>
      <c r="K17" s="4">
        <v>0.25119999999999998</v>
      </c>
      <c r="L17" s="4">
        <v>0.79087399999999997</v>
      </c>
      <c r="M17" s="4">
        <v>12.7362</v>
      </c>
      <c r="N17" s="4">
        <v>0</v>
      </c>
      <c r="O17" s="4">
        <v>4287.8491999999997</v>
      </c>
      <c r="P17" s="4">
        <v>4245.3953000000001</v>
      </c>
      <c r="Q17" s="4">
        <v>4245.3953000000001</v>
      </c>
      <c r="R17" s="4">
        <v>42.454000000000001</v>
      </c>
    </row>
    <row r="18" spans="1:18" x14ac:dyDescent="0.2">
      <c r="A18" s="3">
        <v>38869</v>
      </c>
      <c r="B18" s="4">
        <v>4554.0995000000003</v>
      </c>
      <c r="C18" s="4">
        <v>4187.0167000000001</v>
      </c>
      <c r="D18" s="4">
        <v>31.563099999999999</v>
      </c>
      <c r="E18" s="4">
        <v>4155.4535999999998</v>
      </c>
      <c r="F18" s="5">
        <v>351.57029999999997</v>
      </c>
      <c r="G18" s="4">
        <v>34.145800000000001</v>
      </c>
      <c r="H18" s="4">
        <v>317.42450000000002</v>
      </c>
      <c r="I18" s="4">
        <v>1.9856</v>
      </c>
      <c r="J18" s="4">
        <v>0.9698</v>
      </c>
      <c r="K18" s="4">
        <v>0.24129999999999999</v>
      </c>
      <c r="L18" s="4">
        <v>0.77449199999999996</v>
      </c>
      <c r="M18" s="4">
        <v>13.526999999999999</v>
      </c>
      <c r="N18" s="4">
        <v>0</v>
      </c>
      <c r="O18" s="4">
        <v>4554.0995000000003</v>
      </c>
      <c r="P18" s="4">
        <v>4509.0093999999999</v>
      </c>
      <c r="Q18" s="4">
        <v>4509.0093999999999</v>
      </c>
      <c r="R18" s="4">
        <v>45.0901</v>
      </c>
    </row>
    <row r="19" spans="1:18" x14ac:dyDescent="0.2">
      <c r="A19" s="3">
        <v>38961</v>
      </c>
      <c r="B19" s="4">
        <v>4787.1040000000003</v>
      </c>
      <c r="C19" s="4">
        <v>4400.1007</v>
      </c>
      <c r="D19" s="4">
        <v>33.177900000000001</v>
      </c>
      <c r="E19" s="4">
        <v>4366.9228000000003</v>
      </c>
      <c r="F19" s="5">
        <v>371.26209999999998</v>
      </c>
      <c r="G19" s="4">
        <v>36.597099999999998</v>
      </c>
      <c r="H19" s="4">
        <v>334.66500000000002</v>
      </c>
      <c r="I19" s="4">
        <v>1.5221</v>
      </c>
      <c r="J19" s="4">
        <v>0.78149999999999997</v>
      </c>
      <c r="K19" s="4">
        <v>0.26590000000000003</v>
      </c>
      <c r="L19" s="4">
        <v>0.47469800000000001</v>
      </c>
      <c r="M19" s="4">
        <v>14.219099999999999</v>
      </c>
      <c r="N19" s="4">
        <v>0</v>
      </c>
      <c r="O19" s="4">
        <v>4787.1040000000003</v>
      </c>
      <c r="P19" s="4">
        <v>4739.7069000000001</v>
      </c>
      <c r="Q19" s="4">
        <v>4739.7069000000001</v>
      </c>
      <c r="R19" s="4">
        <v>47.397100000000002</v>
      </c>
    </row>
    <row r="20" spans="1:18" x14ac:dyDescent="0.2">
      <c r="A20" s="3">
        <v>39052</v>
      </c>
      <c r="B20" s="4">
        <v>5060.6351999999997</v>
      </c>
      <c r="C20" s="4">
        <v>4637.2293</v>
      </c>
      <c r="D20" s="4">
        <v>35.073700000000002</v>
      </c>
      <c r="E20" s="4">
        <v>4602.1556</v>
      </c>
      <c r="F20" s="5">
        <v>404.38690000000003</v>
      </c>
      <c r="G20" s="4">
        <v>62.2943</v>
      </c>
      <c r="H20" s="4">
        <v>342.09249999999997</v>
      </c>
      <c r="I20" s="4">
        <v>3.9874999999999998</v>
      </c>
      <c r="J20" s="4">
        <v>0.91710000000000003</v>
      </c>
      <c r="K20" s="4">
        <v>1.9068000000000001</v>
      </c>
      <c r="L20" s="4">
        <v>1.163551</v>
      </c>
      <c r="M20" s="4">
        <v>15.031599999999999</v>
      </c>
      <c r="N20" s="4">
        <v>0</v>
      </c>
      <c r="O20" s="4">
        <v>5060.6351999999997</v>
      </c>
      <c r="P20" s="4">
        <v>5010.5299000000005</v>
      </c>
      <c r="Q20" s="4">
        <v>5010.5299000000005</v>
      </c>
      <c r="R20" s="4">
        <v>50.1053</v>
      </c>
    </row>
    <row r="21" spans="1:18" x14ac:dyDescent="0.2">
      <c r="A21" s="3">
        <v>39142</v>
      </c>
      <c r="B21" s="4">
        <v>5442.4427999999998</v>
      </c>
      <c r="C21" s="4">
        <v>5063.0135</v>
      </c>
      <c r="D21" s="4">
        <v>37.719900000000003</v>
      </c>
      <c r="E21" s="4">
        <v>5025.2936</v>
      </c>
      <c r="F21" s="5">
        <v>358.28859999999997</v>
      </c>
      <c r="G21" s="4">
        <v>12.1221</v>
      </c>
      <c r="H21" s="4">
        <v>346.16649999999998</v>
      </c>
      <c r="I21" s="4">
        <v>4.9749999999999996</v>
      </c>
      <c r="J21" s="4">
        <v>1.1367</v>
      </c>
      <c r="K21" s="4">
        <v>2.3199999999999998</v>
      </c>
      <c r="L21" s="4">
        <v>1.518265</v>
      </c>
      <c r="M21" s="4">
        <v>16.165700000000001</v>
      </c>
      <c r="N21" s="4">
        <v>0</v>
      </c>
      <c r="O21" s="4">
        <v>5442.4427999999998</v>
      </c>
      <c r="P21" s="4">
        <v>5388.5572000000002</v>
      </c>
      <c r="Q21" s="4">
        <v>5388.5572000000002</v>
      </c>
      <c r="R21" s="4">
        <v>53.885599999999997</v>
      </c>
    </row>
    <row r="22" spans="1:18" x14ac:dyDescent="0.2">
      <c r="A22" s="3">
        <v>39234</v>
      </c>
      <c r="B22" s="4">
        <v>5950.0434999999998</v>
      </c>
      <c r="C22" s="4">
        <v>5536.3805000000002</v>
      </c>
      <c r="D22" s="4">
        <v>41.237900000000003</v>
      </c>
      <c r="E22" s="4">
        <v>5495.1426000000001</v>
      </c>
      <c r="F22" s="5">
        <v>391.06009999999998</v>
      </c>
      <c r="G22" s="4">
        <v>18.712299999999999</v>
      </c>
      <c r="H22" s="4">
        <v>372.34780000000001</v>
      </c>
      <c r="I22" s="4">
        <v>4.9294000000000002</v>
      </c>
      <c r="J22" s="4">
        <v>1.1427</v>
      </c>
      <c r="K22" s="4">
        <v>2.2837999999999998</v>
      </c>
      <c r="L22" s="4">
        <v>1.5029999999999999</v>
      </c>
      <c r="M22" s="4">
        <v>17.673400000000001</v>
      </c>
      <c r="N22" s="4">
        <v>0</v>
      </c>
      <c r="O22" s="4">
        <v>5950.0434999999998</v>
      </c>
      <c r="P22" s="4">
        <v>5891.1320999999998</v>
      </c>
      <c r="Q22" s="4">
        <v>5891.1320999999998</v>
      </c>
      <c r="R22" s="4">
        <v>58.911299999999997</v>
      </c>
    </row>
    <row r="23" spans="1:18" x14ac:dyDescent="0.2">
      <c r="A23" s="3">
        <v>39326</v>
      </c>
      <c r="B23" s="4">
        <v>6199.1381000000001</v>
      </c>
      <c r="C23" s="4">
        <v>5887.6538</v>
      </c>
      <c r="D23" s="4">
        <v>42.964300000000001</v>
      </c>
      <c r="E23" s="4">
        <v>5844.6895000000004</v>
      </c>
      <c r="F23" s="5">
        <v>287.87880000000001</v>
      </c>
      <c r="G23" s="4">
        <v>17.217500000000001</v>
      </c>
      <c r="H23" s="4">
        <v>270.66129999999998</v>
      </c>
      <c r="I23" s="4">
        <v>5.1921999999999997</v>
      </c>
      <c r="J23" s="4">
        <v>1.2501</v>
      </c>
      <c r="K23" s="4">
        <v>2.4300999999999999</v>
      </c>
      <c r="L23" s="4">
        <v>1.5120420000000001</v>
      </c>
      <c r="M23" s="4">
        <v>18.4133</v>
      </c>
      <c r="N23" s="4">
        <v>0</v>
      </c>
      <c r="O23" s="4">
        <v>6199.1381000000001</v>
      </c>
      <c r="P23" s="4">
        <v>6137.7605000000003</v>
      </c>
      <c r="Q23" s="4">
        <v>6137.7605000000003</v>
      </c>
      <c r="R23" s="4">
        <v>61.377600000000001</v>
      </c>
    </row>
    <row r="24" spans="1:18" x14ac:dyDescent="0.2">
      <c r="A24" s="3">
        <v>39417</v>
      </c>
      <c r="B24" s="4">
        <v>6138.3730999999998</v>
      </c>
      <c r="C24" s="4">
        <v>5807.9488000000001</v>
      </c>
      <c r="D24" s="4">
        <v>42.543199999999999</v>
      </c>
      <c r="E24" s="4">
        <v>5765.4056</v>
      </c>
      <c r="F24" s="5">
        <v>307.54149999999998</v>
      </c>
      <c r="G24" s="4">
        <v>14.2301</v>
      </c>
      <c r="H24" s="4">
        <v>293.31139999999999</v>
      </c>
      <c r="I24" s="4">
        <v>4.6501000000000001</v>
      </c>
      <c r="J24" s="4">
        <v>1.0881000000000001</v>
      </c>
      <c r="K24" s="4">
        <v>2.1922999999999999</v>
      </c>
      <c r="L24" s="4">
        <v>1.369632</v>
      </c>
      <c r="M24" s="4">
        <v>18.232800000000001</v>
      </c>
      <c r="N24" s="4">
        <v>0</v>
      </c>
      <c r="O24" s="4">
        <v>6138.3730999999998</v>
      </c>
      <c r="P24" s="4">
        <v>6077.5971</v>
      </c>
      <c r="Q24" s="4">
        <v>6077.5971</v>
      </c>
      <c r="R24" s="4">
        <v>60.776000000000003</v>
      </c>
    </row>
    <row r="25" spans="1:18" x14ac:dyDescent="0.2">
      <c r="A25" s="3">
        <v>39508</v>
      </c>
      <c r="B25" s="4">
        <v>6456.6702999999998</v>
      </c>
      <c r="C25" s="4">
        <v>6068.8752999999997</v>
      </c>
      <c r="D25" s="4">
        <v>44.749200000000002</v>
      </c>
      <c r="E25" s="4">
        <v>6024.1261000000004</v>
      </c>
      <c r="F25" s="5">
        <v>365.9665</v>
      </c>
      <c r="G25" s="4">
        <v>34.828699999999998</v>
      </c>
      <c r="H25" s="4">
        <v>331.13780000000003</v>
      </c>
      <c r="I25" s="4">
        <v>2.6503000000000001</v>
      </c>
      <c r="J25" s="4">
        <v>0.6663</v>
      </c>
      <c r="K25" s="4">
        <v>1.5276000000000001</v>
      </c>
      <c r="L25" s="4">
        <v>0.45641100000000001</v>
      </c>
      <c r="M25" s="4">
        <v>19.1782</v>
      </c>
      <c r="N25" s="4">
        <v>0</v>
      </c>
      <c r="O25" s="4">
        <v>6456.6702999999998</v>
      </c>
      <c r="P25" s="4">
        <v>6392.7429000000002</v>
      </c>
      <c r="Q25" s="4">
        <v>6392.7429000000002</v>
      </c>
      <c r="R25" s="4">
        <v>63.927399999999999</v>
      </c>
    </row>
    <row r="26" spans="1:18" x14ac:dyDescent="0.2">
      <c r="A26" s="3">
        <v>39600</v>
      </c>
      <c r="B26" s="4">
        <v>7737.0796</v>
      </c>
      <c r="C26" s="4">
        <v>7266.3537999999999</v>
      </c>
      <c r="D26" s="4">
        <v>53.6233</v>
      </c>
      <c r="E26" s="4">
        <v>7212.7304999999997</v>
      </c>
      <c r="F26" s="5">
        <v>445.46640000000002</v>
      </c>
      <c r="G26" s="4">
        <v>68.962299999999999</v>
      </c>
      <c r="H26" s="4">
        <v>376.50409999999999</v>
      </c>
      <c r="I26" s="4">
        <v>2.278</v>
      </c>
      <c r="J26" s="4">
        <v>0.60109999999999997</v>
      </c>
      <c r="K26" s="4">
        <v>1.6768000000000001</v>
      </c>
      <c r="L26" s="4">
        <v>0</v>
      </c>
      <c r="M26" s="4">
        <v>22.981400000000001</v>
      </c>
      <c r="N26" s="4">
        <v>0</v>
      </c>
      <c r="O26" s="4">
        <v>7737.0796</v>
      </c>
      <c r="P26" s="4">
        <v>7660.4748</v>
      </c>
      <c r="Q26" s="4">
        <v>7660.4748</v>
      </c>
      <c r="R26" s="4">
        <v>76.604699999999994</v>
      </c>
    </row>
    <row r="27" spans="1:18" x14ac:dyDescent="0.2">
      <c r="A27" s="3">
        <v>39692</v>
      </c>
      <c r="B27" s="4">
        <v>6739.0196999999998</v>
      </c>
      <c r="C27" s="4">
        <v>6215.9335000000001</v>
      </c>
      <c r="D27" s="4">
        <v>46.706099999999999</v>
      </c>
      <c r="E27" s="4">
        <v>6169.2273999999998</v>
      </c>
      <c r="F27" s="5">
        <v>501.32479999999998</v>
      </c>
      <c r="G27" s="4">
        <v>152.12569999999999</v>
      </c>
      <c r="H27" s="4">
        <v>349.19900000000001</v>
      </c>
      <c r="I27" s="4">
        <v>1.7444999999999999</v>
      </c>
      <c r="J27" s="4">
        <v>0.50719999999999998</v>
      </c>
      <c r="K27" s="4">
        <v>1.2373000000000001</v>
      </c>
      <c r="L27" s="4">
        <v>0</v>
      </c>
      <c r="M27" s="4">
        <v>20.0169</v>
      </c>
      <c r="N27" s="4">
        <v>0</v>
      </c>
      <c r="O27" s="4">
        <v>6739.0196999999998</v>
      </c>
      <c r="P27" s="4">
        <v>6672.2966999999999</v>
      </c>
      <c r="Q27" s="4">
        <v>6672.2966999999999</v>
      </c>
      <c r="R27" s="4">
        <v>66.722999999999999</v>
      </c>
    </row>
    <row r="28" spans="1:18" x14ac:dyDescent="0.2">
      <c r="A28" s="3">
        <v>39783</v>
      </c>
      <c r="B28" s="4">
        <v>7150.1274000000003</v>
      </c>
      <c r="C28" s="4">
        <v>6577.2788</v>
      </c>
      <c r="D28" s="4">
        <v>49.555300000000003</v>
      </c>
      <c r="E28" s="4">
        <v>6527.7235000000001</v>
      </c>
      <c r="F28" s="5">
        <v>549.59169999999995</v>
      </c>
      <c r="G28" s="4">
        <v>180.00280000000001</v>
      </c>
      <c r="H28" s="4">
        <v>369.58890000000002</v>
      </c>
      <c r="I28" s="4">
        <v>2.0188000000000001</v>
      </c>
      <c r="J28" s="4">
        <v>0.46129999999999999</v>
      </c>
      <c r="K28" s="4">
        <v>1.5576000000000001</v>
      </c>
      <c r="L28" s="4">
        <v>0</v>
      </c>
      <c r="M28" s="4">
        <v>21.238</v>
      </c>
      <c r="N28" s="4">
        <v>0</v>
      </c>
      <c r="O28" s="4">
        <v>7150.1274000000003</v>
      </c>
      <c r="P28" s="4">
        <v>7079.3339999999998</v>
      </c>
      <c r="Q28" s="4">
        <v>7079.3339999999998</v>
      </c>
      <c r="R28" s="4">
        <v>70.793300000000002</v>
      </c>
    </row>
    <row r="29" spans="1:18" x14ac:dyDescent="0.2">
      <c r="A29" s="3">
        <v>39873</v>
      </c>
      <c r="B29" s="4">
        <v>9543.3955000000005</v>
      </c>
      <c r="C29" s="4">
        <v>8635.7554</v>
      </c>
      <c r="D29" s="4">
        <v>66.142300000000006</v>
      </c>
      <c r="E29" s="4">
        <v>8569.6131000000005</v>
      </c>
      <c r="F29" s="5">
        <v>877.62289999999996</v>
      </c>
      <c r="G29" s="4">
        <v>313.68310000000002</v>
      </c>
      <c r="H29" s="4">
        <v>563.93970000000002</v>
      </c>
      <c r="I29" s="4">
        <v>1.6705000000000001</v>
      </c>
      <c r="J29" s="4">
        <v>0.37109999999999999</v>
      </c>
      <c r="K29" s="4">
        <v>1.2994000000000001</v>
      </c>
      <c r="L29" s="4">
        <v>0</v>
      </c>
      <c r="M29" s="4">
        <v>28.346699999999998</v>
      </c>
      <c r="N29" s="4">
        <v>0</v>
      </c>
      <c r="O29" s="4">
        <v>9543.3955000000005</v>
      </c>
      <c r="P29" s="4">
        <v>9448.9063999999998</v>
      </c>
      <c r="Q29" s="4">
        <v>9448.9063999999998</v>
      </c>
      <c r="R29" s="4">
        <v>94.489099999999993</v>
      </c>
    </row>
    <row r="30" spans="1:18" x14ac:dyDescent="0.2">
      <c r="A30" s="3">
        <v>39965</v>
      </c>
      <c r="B30" s="4">
        <v>10632.9692</v>
      </c>
      <c r="C30" s="4">
        <v>9659.4199000000008</v>
      </c>
      <c r="D30" s="4">
        <v>73.693799999999996</v>
      </c>
      <c r="E30" s="4">
        <v>9585.7260000000006</v>
      </c>
      <c r="F30" s="5">
        <v>940.39459999999997</v>
      </c>
      <c r="G30" s="4">
        <v>215.25630000000001</v>
      </c>
      <c r="H30" s="4">
        <v>725.13819999999998</v>
      </c>
      <c r="I30" s="4">
        <v>1.5716000000000001</v>
      </c>
      <c r="J30" s="4">
        <v>0.37830000000000003</v>
      </c>
      <c r="K30" s="4">
        <v>1.1933</v>
      </c>
      <c r="L30" s="4">
        <v>0</v>
      </c>
      <c r="M30" s="4">
        <v>31.583100000000002</v>
      </c>
      <c r="N30" s="4">
        <v>0</v>
      </c>
      <c r="O30" s="4">
        <v>10632.9692</v>
      </c>
      <c r="P30" s="4">
        <v>10527.6922</v>
      </c>
      <c r="Q30" s="4">
        <v>10527.6922</v>
      </c>
      <c r="R30" s="4">
        <v>105.2769</v>
      </c>
    </row>
    <row r="31" spans="1:18" x14ac:dyDescent="0.2">
      <c r="A31" s="3">
        <v>40057</v>
      </c>
      <c r="B31" s="4">
        <v>10881.466700000001</v>
      </c>
      <c r="C31" s="4">
        <v>9701.7508999999991</v>
      </c>
      <c r="D31" s="4">
        <v>75.4161</v>
      </c>
      <c r="E31" s="4">
        <v>9626.3346999999994</v>
      </c>
      <c r="F31" s="5">
        <v>1145.6052</v>
      </c>
      <c r="G31" s="4">
        <v>628.5779</v>
      </c>
      <c r="H31" s="4">
        <v>517.02729999999997</v>
      </c>
      <c r="I31" s="4">
        <v>1.7894000000000001</v>
      </c>
      <c r="J31" s="4">
        <v>0.37819999999999998</v>
      </c>
      <c r="K31" s="4">
        <v>1.4113</v>
      </c>
      <c r="L31" s="4">
        <v>0</v>
      </c>
      <c r="M31" s="4">
        <v>32.321199999999997</v>
      </c>
      <c r="N31" s="4">
        <v>0</v>
      </c>
      <c r="O31" s="4">
        <v>10881.466700000001</v>
      </c>
      <c r="P31" s="4">
        <v>10773.7294</v>
      </c>
      <c r="Q31" s="4">
        <v>10773.7294</v>
      </c>
      <c r="R31" s="4">
        <v>107.7373</v>
      </c>
    </row>
    <row r="32" spans="1:18" x14ac:dyDescent="0.2">
      <c r="A32" s="3">
        <v>40148</v>
      </c>
      <c r="B32" s="4">
        <v>10693.678599999999</v>
      </c>
      <c r="C32" s="4">
        <v>9627.8078000000005</v>
      </c>
      <c r="D32" s="4">
        <v>74.114599999999996</v>
      </c>
      <c r="E32" s="4">
        <v>9553.6931999999997</v>
      </c>
      <c r="F32" s="5">
        <v>1032.3651</v>
      </c>
      <c r="G32" s="4">
        <v>404.04570000000001</v>
      </c>
      <c r="H32" s="4">
        <v>628.31939999999997</v>
      </c>
      <c r="I32" s="4">
        <v>1.7423</v>
      </c>
      <c r="J32" s="4">
        <v>0.40239999999999998</v>
      </c>
      <c r="K32" s="4">
        <v>1.3399000000000001</v>
      </c>
      <c r="L32" s="4">
        <v>0</v>
      </c>
      <c r="M32" s="4">
        <v>31.763400000000001</v>
      </c>
      <c r="N32" s="4">
        <v>0</v>
      </c>
      <c r="O32" s="4">
        <v>10693.678599999999</v>
      </c>
      <c r="P32" s="4">
        <v>10587.8006</v>
      </c>
      <c r="Q32" s="4">
        <v>10587.8006</v>
      </c>
      <c r="R32" s="4">
        <v>105.878</v>
      </c>
    </row>
    <row r="33" spans="1:18" x14ac:dyDescent="0.2">
      <c r="A33" s="3">
        <v>40238</v>
      </c>
      <c r="B33" s="4">
        <v>11954.9341</v>
      </c>
      <c r="C33" s="4">
        <v>9985.5015000000003</v>
      </c>
      <c r="D33" s="4">
        <v>82.855999999999995</v>
      </c>
      <c r="E33" s="4">
        <v>9902.6455000000005</v>
      </c>
      <c r="F33" s="5">
        <v>1932.2189000000001</v>
      </c>
      <c r="G33" s="4">
        <v>1501.7091</v>
      </c>
      <c r="H33" s="4">
        <v>430.50990000000002</v>
      </c>
      <c r="I33" s="4">
        <v>1.704</v>
      </c>
      <c r="J33" s="4">
        <v>0.46160000000000001</v>
      </c>
      <c r="K33" s="4">
        <v>1.2423999999999999</v>
      </c>
      <c r="L33" s="4">
        <v>0</v>
      </c>
      <c r="M33" s="4">
        <v>35.509700000000002</v>
      </c>
      <c r="N33" s="4">
        <v>0</v>
      </c>
      <c r="O33" s="4">
        <v>11954.9341</v>
      </c>
      <c r="P33" s="4">
        <v>11836.5684</v>
      </c>
      <c r="Q33" s="4">
        <v>11836.5684</v>
      </c>
      <c r="R33" s="4">
        <v>118.3657</v>
      </c>
    </row>
    <row r="34" spans="1:18" x14ac:dyDescent="0.2">
      <c r="A34" s="3">
        <v>40330</v>
      </c>
      <c r="B34" s="4">
        <v>11074.322200000001</v>
      </c>
      <c r="C34" s="4">
        <v>10042.726500000001</v>
      </c>
      <c r="D34" s="4">
        <v>76.752700000000004</v>
      </c>
      <c r="E34" s="4">
        <v>9965.9737000000005</v>
      </c>
      <c r="F34" s="5">
        <v>996.97080000000005</v>
      </c>
      <c r="G34" s="4">
        <v>525.36879999999996</v>
      </c>
      <c r="H34" s="4">
        <v>471.60199999999998</v>
      </c>
      <c r="I34" s="4">
        <v>1.7309000000000001</v>
      </c>
      <c r="J34" s="4">
        <v>0.50109999999999999</v>
      </c>
      <c r="K34" s="4">
        <v>1.2298</v>
      </c>
      <c r="L34" s="4">
        <v>0</v>
      </c>
      <c r="M34" s="4">
        <v>32.893999999999998</v>
      </c>
      <c r="N34" s="4">
        <v>0</v>
      </c>
      <c r="O34" s="4">
        <v>11074.322200000001</v>
      </c>
      <c r="P34" s="4">
        <v>10964.6754</v>
      </c>
      <c r="Q34" s="4">
        <v>10964.6754</v>
      </c>
      <c r="R34" s="4">
        <v>109.6468</v>
      </c>
    </row>
    <row r="35" spans="1:18" x14ac:dyDescent="0.2">
      <c r="A35" s="3">
        <v>40422</v>
      </c>
      <c r="B35" s="4">
        <v>8717.1448999999993</v>
      </c>
      <c r="C35" s="4">
        <v>7864.1256000000003</v>
      </c>
      <c r="D35" s="4">
        <v>60.415900000000001</v>
      </c>
      <c r="E35" s="4">
        <v>7803.7097000000003</v>
      </c>
      <c r="F35" s="5">
        <v>825.36080000000004</v>
      </c>
      <c r="G35" s="4">
        <v>471.5496</v>
      </c>
      <c r="H35" s="4">
        <v>353.81130000000002</v>
      </c>
      <c r="I35" s="4">
        <v>1.7659</v>
      </c>
      <c r="J35" s="4">
        <v>0.505</v>
      </c>
      <c r="K35" s="4">
        <v>1.2609999999999999</v>
      </c>
      <c r="L35" s="4">
        <v>0</v>
      </c>
      <c r="M35" s="4">
        <v>25.892499999999998</v>
      </c>
      <c r="N35" s="4">
        <v>0</v>
      </c>
      <c r="O35" s="4">
        <v>8717.1448999999993</v>
      </c>
      <c r="P35" s="4">
        <v>8630.8364999999994</v>
      </c>
      <c r="Q35" s="4">
        <v>8630.8364999999994</v>
      </c>
      <c r="R35" s="4">
        <v>86.308400000000006</v>
      </c>
    </row>
    <row r="36" spans="1:18" x14ac:dyDescent="0.2">
      <c r="A36" s="3">
        <v>40513</v>
      </c>
      <c r="B36" s="4">
        <v>9248.5933000000005</v>
      </c>
      <c r="C36" s="4">
        <v>8667.0545999999995</v>
      </c>
      <c r="D36" s="4">
        <v>64.099199999999996</v>
      </c>
      <c r="E36" s="4">
        <v>8602.9554000000007</v>
      </c>
      <c r="F36" s="5">
        <v>552.34349999999995</v>
      </c>
      <c r="G36" s="4">
        <v>214.06469999999999</v>
      </c>
      <c r="H36" s="4">
        <v>338.27870000000001</v>
      </c>
      <c r="I36" s="4">
        <v>1.7242</v>
      </c>
      <c r="J36" s="4">
        <v>0.49759999999999999</v>
      </c>
      <c r="K36" s="4">
        <v>1.2265999999999999</v>
      </c>
      <c r="L36" s="4">
        <v>0</v>
      </c>
      <c r="M36" s="4">
        <v>27.4711</v>
      </c>
      <c r="N36" s="4">
        <v>0</v>
      </c>
      <c r="O36" s="4">
        <v>9248.5933000000005</v>
      </c>
      <c r="P36" s="4">
        <v>9157.0231000000003</v>
      </c>
      <c r="Q36" s="4">
        <v>9157.0231000000003</v>
      </c>
      <c r="R36" s="4">
        <v>91.5702</v>
      </c>
    </row>
    <row r="37" spans="1:18" x14ac:dyDescent="0.2">
      <c r="A37" s="3">
        <v>40603</v>
      </c>
      <c r="B37" s="4">
        <v>9270.3901000000005</v>
      </c>
      <c r="C37" s="4">
        <v>8478.5133999999998</v>
      </c>
      <c r="D37" s="4">
        <v>64.250200000000007</v>
      </c>
      <c r="E37" s="4">
        <v>8414.2631999999994</v>
      </c>
      <c r="F37" s="5">
        <v>762.61559999999997</v>
      </c>
      <c r="G37" s="4">
        <v>359.49450000000002</v>
      </c>
      <c r="H37" s="4">
        <v>403.12110000000001</v>
      </c>
      <c r="I37" s="4">
        <v>1.7252000000000001</v>
      </c>
      <c r="J37" s="4">
        <v>0.48299999999999998</v>
      </c>
      <c r="K37" s="4">
        <v>1.2423</v>
      </c>
      <c r="L37" s="4">
        <v>0</v>
      </c>
      <c r="M37" s="4">
        <v>27.535799999999998</v>
      </c>
      <c r="N37" s="4">
        <v>0</v>
      </c>
      <c r="O37" s="4">
        <v>9270.3901000000005</v>
      </c>
      <c r="P37" s="4">
        <v>9178.6039999999994</v>
      </c>
      <c r="Q37" s="4">
        <v>9178.6039999999994</v>
      </c>
      <c r="R37" s="4">
        <v>91.786000000000001</v>
      </c>
    </row>
    <row r="38" spans="1:18" x14ac:dyDescent="0.2">
      <c r="A38" s="3">
        <v>40695</v>
      </c>
      <c r="B38" s="4">
        <v>9077.7067000000006</v>
      </c>
      <c r="C38" s="4">
        <v>8158.8705</v>
      </c>
      <c r="D38" s="4">
        <v>62.9148</v>
      </c>
      <c r="E38" s="4">
        <v>8095.9557000000004</v>
      </c>
      <c r="F38" s="5">
        <v>890.04480000000001</v>
      </c>
      <c r="G38" s="4">
        <v>427.85180000000003</v>
      </c>
      <c r="H38" s="4">
        <v>462.19299999999998</v>
      </c>
      <c r="I38" s="4">
        <v>1.8279000000000001</v>
      </c>
      <c r="J38" s="4">
        <v>0.47289999999999999</v>
      </c>
      <c r="K38" s="4">
        <v>1.355</v>
      </c>
      <c r="L38" s="4">
        <v>0</v>
      </c>
      <c r="M38" s="4">
        <v>26.9635</v>
      </c>
      <c r="N38" s="4">
        <v>0</v>
      </c>
      <c r="O38" s="4">
        <v>9077.7067000000006</v>
      </c>
      <c r="P38" s="4">
        <v>8987.8284000000003</v>
      </c>
      <c r="Q38" s="4">
        <v>8987.8284000000003</v>
      </c>
      <c r="R38" s="4">
        <v>89.878299999999996</v>
      </c>
    </row>
    <row r="39" spans="1:18" x14ac:dyDescent="0.2">
      <c r="A39" s="3">
        <v>40787</v>
      </c>
      <c r="B39" s="4">
        <v>9717.6859000000004</v>
      </c>
      <c r="C39" s="4">
        <v>8871.0053000000007</v>
      </c>
      <c r="D39" s="4">
        <v>67.350300000000004</v>
      </c>
      <c r="E39" s="4">
        <v>8803.6550000000007</v>
      </c>
      <c r="F39" s="5">
        <v>816.29909999999995</v>
      </c>
      <c r="G39" s="4">
        <v>330.14440000000002</v>
      </c>
      <c r="H39" s="4">
        <v>486.15460000000002</v>
      </c>
      <c r="I39" s="4">
        <v>1.5170999999999999</v>
      </c>
      <c r="J39" s="4">
        <v>0.36680000000000001</v>
      </c>
      <c r="K39" s="4">
        <v>1.1503000000000001</v>
      </c>
      <c r="L39" s="4">
        <v>0</v>
      </c>
      <c r="M39" s="4">
        <v>28.8644</v>
      </c>
      <c r="N39" s="4">
        <v>0</v>
      </c>
      <c r="O39" s="4">
        <v>9717.6859000000004</v>
      </c>
      <c r="P39" s="4">
        <v>9621.4712</v>
      </c>
      <c r="Q39" s="4">
        <v>9621.4712</v>
      </c>
      <c r="R39" s="4">
        <v>96.214699999999993</v>
      </c>
    </row>
    <row r="40" spans="1:18" x14ac:dyDescent="0.2">
      <c r="A40" s="3">
        <v>40878</v>
      </c>
      <c r="B40" s="4">
        <v>10123.3403</v>
      </c>
      <c r="C40" s="4">
        <v>9511.9529999999995</v>
      </c>
      <c r="D40" s="4">
        <v>70.161799999999999</v>
      </c>
      <c r="E40" s="4">
        <v>9441.7913000000008</v>
      </c>
      <c r="F40" s="5">
        <v>579.80999999999995</v>
      </c>
      <c r="G40" s="4">
        <v>66.565100000000001</v>
      </c>
      <c r="H40" s="4">
        <v>513.24490000000003</v>
      </c>
      <c r="I40" s="4">
        <v>1.5079</v>
      </c>
      <c r="J40" s="4">
        <v>0.36370000000000002</v>
      </c>
      <c r="K40" s="4">
        <v>1.1442000000000001</v>
      </c>
      <c r="L40" s="4">
        <v>0</v>
      </c>
      <c r="M40" s="4">
        <v>30.069299999999998</v>
      </c>
      <c r="N40" s="4">
        <v>0</v>
      </c>
      <c r="O40" s="4">
        <v>10123.3403</v>
      </c>
      <c r="P40" s="4">
        <v>10023.109200000001</v>
      </c>
      <c r="Q40" s="4">
        <v>10023.109200000001</v>
      </c>
      <c r="R40" s="4">
        <v>100.2311</v>
      </c>
    </row>
    <row r="41" spans="1:18" x14ac:dyDescent="0.2">
      <c r="A41" s="3">
        <v>40969</v>
      </c>
      <c r="B41" s="4">
        <v>10000.102999999999</v>
      </c>
      <c r="C41" s="4">
        <v>9275.1972999999998</v>
      </c>
      <c r="D41" s="4">
        <v>63.127699999999997</v>
      </c>
      <c r="E41" s="4">
        <v>9212.0696000000007</v>
      </c>
      <c r="F41" s="5">
        <v>680.97180000000003</v>
      </c>
      <c r="G41" s="4">
        <v>251.86060000000001</v>
      </c>
      <c r="H41" s="4">
        <v>429.1112</v>
      </c>
      <c r="I41" s="4">
        <v>1.5849</v>
      </c>
      <c r="J41" s="4">
        <v>0.40920000000000001</v>
      </c>
      <c r="K41" s="4">
        <v>1.1757</v>
      </c>
      <c r="L41" s="4">
        <v>0</v>
      </c>
      <c r="M41" s="4">
        <v>42.348999999999997</v>
      </c>
      <c r="N41" s="4">
        <v>0</v>
      </c>
      <c r="O41" s="4">
        <v>10000.102999999999</v>
      </c>
      <c r="P41" s="4">
        <v>9894.6262999999999</v>
      </c>
      <c r="Q41" s="4">
        <v>9894.6262999999999</v>
      </c>
      <c r="R41" s="4">
        <v>105.47669999999999</v>
      </c>
    </row>
    <row r="42" spans="1:18" x14ac:dyDescent="0.2">
      <c r="A42" s="3">
        <v>41061</v>
      </c>
      <c r="B42" s="4">
        <v>11020.744199999999</v>
      </c>
      <c r="C42" s="4">
        <v>10378.167299999999</v>
      </c>
      <c r="D42" s="4">
        <v>69.570700000000002</v>
      </c>
      <c r="E42" s="4">
        <v>10308.5965</v>
      </c>
      <c r="F42" s="5">
        <v>594.44470000000001</v>
      </c>
      <c r="G42" s="4">
        <v>212.09139999999999</v>
      </c>
      <c r="H42" s="4">
        <v>382.35340000000002</v>
      </c>
      <c r="I42" s="4">
        <v>1.4609000000000001</v>
      </c>
      <c r="J42" s="4">
        <v>0.38569999999999999</v>
      </c>
      <c r="K42" s="4">
        <v>1.0751999999999999</v>
      </c>
      <c r="L42" s="4">
        <v>0</v>
      </c>
      <c r="M42" s="4">
        <v>46.671300000000002</v>
      </c>
      <c r="N42" s="4">
        <v>0</v>
      </c>
      <c r="O42" s="4">
        <v>11020.744199999999</v>
      </c>
      <c r="P42" s="4">
        <v>10904.502200000001</v>
      </c>
      <c r="Q42" s="4">
        <v>10904.502200000001</v>
      </c>
      <c r="R42" s="4">
        <v>116.242</v>
      </c>
    </row>
    <row r="43" spans="1:18" x14ac:dyDescent="0.2">
      <c r="A43" s="3">
        <v>41153</v>
      </c>
      <c r="B43" s="4">
        <v>11426.4002</v>
      </c>
      <c r="C43" s="4">
        <v>10792.1713</v>
      </c>
      <c r="D43" s="4">
        <v>72.131500000000003</v>
      </c>
      <c r="E43" s="4">
        <v>10720.0398</v>
      </c>
      <c r="F43" s="5">
        <v>584.39499999999998</v>
      </c>
      <c r="G43" s="4">
        <v>162.2885</v>
      </c>
      <c r="H43" s="4">
        <v>422.10660000000001</v>
      </c>
      <c r="I43" s="4">
        <v>1.4447000000000001</v>
      </c>
      <c r="J43" s="4">
        <v>0.26350000000000001</v>
      </c>
      <c r="K43" s="4">
        <v>1.1812</v>
      </c>
      <c r="L43" s="4">
        <v>0</v>
      </c>
      <c r="M43" s="4">
        <v>48.389200000000002</v>
      </c>
      <c r="N43" s="4">
        <v>0</v>
      </c>
      <c r="O43" s="4">
        <v>11426.4002</v>
      </c>
      <c r="P43" s="4">
        <v>11305.879499999999</v>
      </c>
      <c r="Q43" s="4">
        <v>11305.879499999999</v>
      </c>
      <c r="R43" s="4">
        <v>120.52070000000001</v>
      </c>
    </row>
    <row r="44" spans="1:18" x14ac:dyDescent="0.2">
      <c r="A44" s="3">
        <v>41244</v>
      </c>
      <c r="B44" s="4">
        <v>10983.9226</v>
      </c>
      <c r="C44" s="4">
        <v>10334.6582</v>
      </c>
      <c r="D44" s="4">
        <v>69.338300000000004</v>
      </c>
      <c r="E44" s="4">
        <v>10265.32</v>
      </c>
      <c r="F44" s="5">
        <v>600.51490000000001</v>
      </c>
      <c r="G44" s="4">
        <v>0</v>
      </c>
      <c r="H44" s="4">
        <v>600.51490000000001</v>
      </c>
      <c r="I44" s="4">
        <v>2.2341000000000002</v>
      </c>
      <c r="J44" s="4">
        <v>0.29089999999999999</v>
      </c>
      <c r="K44" s="4">
        <v>1.9432</v>
      </c>
      <c r="L44" s="4">
        <v>0</v>
      </c>
      <c r="M44" s="4">
        <v>46.515300000000003</v>
      </c>
      <c r="N44" s="4">
        <v>0</v>
      </c>
      <c r="O44" s="4">
        <v>10983.9226</v>
      </c>
      <c r="P44" s="4">
        <v>10868.069</v>
      </c>
      <c r="Q44" s="4">
        <v>10868.069</v>
      </c>
      <c r="R44" s="4">
        <v>115.8536</v>
      </c>
    </row>
    <row r="45" spans="1:18" x14ac:dyDescent="0.2">
      <c r="A45" s="3">
        <v>41334</v>
      </c>
      <c r="B45" s="4">
        <v>11961.796899999999</v>
      </c>
      <c r="C45" s="4">
        <v>11008.9607</v>
      </c>
      <c r="D45" s="4">
        <v>80.808599999999998</v>
      </c>
      <c r="E45" s="4">
        <v>10928.152</v>
      </c>
      <c r="F45" s="5">
        <v>866.73339999999996</v>
      </c>
      <c r="G45" s="4">
        <v>319.2774</v>
      </c>
      <c r="H45" s="4">
        <v>547.45600000000002</v>
      </c>
      <c r="I45" s="4">
        <v>1.9912000000000001</v>
      </c>
      <c r="J45" s="4">
        <v>0.36649999999999999</v>
      </c>
      <c r="K45" s="4">
        <v>1.6247</v>
      </c>
      <c r="L45" s="4">
        <v>0</v>
      </c>
      <c r="M45" s="4">
        <v>84.111699999999999</v>
      </c>
      <c r="N45" s="4">
        <v>0</v>
      </c>
      <c r="O45" s="4">
        <v>11961.796899999999</v>
      </c>
      <c r="P45" s="4">
        <v>11796.8766</v>
      </c>
      <c r="Q45" s="4">
        <v>11796.8766</v>
      </c>
      <c r="R45" s="4">
        <v>164.9203</v>
      </c>
    </row>
    <row r="46" spans="1:18" x14ac:dyDescent="0.2">
      <c r="A46" s="3">
        <v>41426</v>
      </c>
      <c r="B46" s="4">
        <v>12777.872600000001</v>
      </c>
      <c r="C46" s="4">
        <v>11746.396199999999</v>
      </c>
      <c r="D46" s="4">
        <v>86.321700000000007</v>
      </c>
      <c r="E46" s="4">
        <v>11660.074500000001</v>
      </c>
      <c r="F46" s="5">
        <v>939.07470000000001</v>
      </c>
      <c r="G46" s="4">
        <v>261.10480000000001</v>
      </c>
      <c r="H46" s="4">
        <v>677.96990000000005</v>
      </c>
      <c r="I46" s="4">
        <v>2.5516000000000001</v>
      </c>
      <c r="J46" s="4">
        <v>0.32350000000000001</v>
      </c>
      <c r="K46" s="4">
        <v>2.2280000000000002</v>
      </c>
      <c r="L46" s="4">
        <v>0</v>
      </c>
      <c r="M46" s="4">
        <v>89.850099999999998</v>
      </c>
      <c r="N46" s="4">
        <v>0</v>
      </c>
      <c r="O46" s="4">
        <v>12777.872600000001</v>
      </c>
      <c r="P46" s="4">
        <v>12601.7009</v>
      </c>
      <c r="Q46" s="4">
        <v>12601.7009</v>
      </c>
      <c r="R46" s="4">
        <v>176.17179999999999</v>
      </c>
    </row>
    <row r="47" spans="1:18" x14ac:dyDescent="0.2">
      <c r="A47" s="3">
        <v>41518</v>
      </c>
      <c r="B47" s="4">
        <v>12628.5389</v>
      </c>
      <c r="C47" s="4">
        <v>11578.3104</v>
      </c>
      <c r="D47" s="4">
        <v>85.312799999999996</v>
      </c>
      <c r="E47" s="4">
        <v>11492.997600000001</v>
      </c>
      <c r="F47" s="5">
        <v>958.34100000000001</v>
      </c>
      <c r="G47" s="4">
        <v>140.65979999999999</v>
      </c>
      <c r="H47" s="4">
        <v>817.68110000000001</v>
      </c>
      <c r="I47" s="4">
        <v>3.0874999999999999</v>
      </c>
      <c r="J47" s="4">
        <v>0.34620000000000001</v>
      </c>
      <c r="K47" s="4">
        <v>2.7412999999999998</v>
      </c>
      <c r="L47" s="4">
        <v>0</v>
      </c>
      <c r="M47" s="4">
        <v>88.8001</v>
      </c>
      <c r="N47" s="4">
        <v>0</v>
      </c>
      <c r="O47" s="4">
        <v>12628.5389</v>
      </c>
      <c r="P47" s="4">
        <v>12454.426100000001</v>
      </c>
      <c r="Q47" s="4">
        <v>12454.426100000001</v>
      </c>
      <c r="R47" s="4">
        <v>174.1129</v>
      </c>
    </row>
    <row r="48" spans="1:18" x14ac:dyDescent="0.2">
      <c r="A48" s="3">
        <v>41609</v>
      </c>
      <c r="B48" s="4">
        <v>12427.351500000001</v>
      </c>
      <c r="C48" s="4">
        <v>11347.4869</v>
      </c>
      <c r="D48" s="4">
        <v>83.953699999999998</v>
      </c>
      <c r="E48" s="4">
        <v>11263.5332</v>
      </c>
      <c r="F48" s="5">
        <v>989.52</v>
      </c>
      <c r="G48" s="4">
        <v>145.1088</v>
      </c>
      <c r="H48" s="4">
        <v>844.41120000000001</v>
      </c>
      <c r="I48" s="4">
        <v>2.9592000000000001</v>
      </c>
      <c r="J48" s="4">
        <v>0.3599</v>
      </c>
      <c r="K48" s="4">
        <v>2.5992999999999999</v>
      </c>
      <c r="L48" s="4">
        <v>0</v>
      </c>
      <c r="M48" s="4">
        <v>87.385400000000004</v>
      </c>
      <c r="N48" s="4">
        <v>0</v>
      </c>
      <c r="O48" s="4">
        <v>12427.351500000001</v>
      </c>
      <c r="P48" s="4">
        <v>12256.0124</v>
      </c>
      <c r="Q48" s="4">
        <v>12256.0124</v>
      </c>
      <c r="R48" s="4">
        <v>171.3391</v>
      </c>
    </row>
    <row r="49" spans="1:18" x14ac:dyDescent="0.2">
      <c r="A49" s="3">
        <v>41699</v>
      </c>
      <c r="B49" s="4">
        <v>13058.063099999999</v>
      </c>
      <c r="C49" s="4">
        <v>11748.432699999999</v>
      </c>
      <c r="D49" s="4">
        <v>82.328100000000006</v>
      </c>
      <c r="E49" s="4">
        <v>11666.104600000001</v>
      </c>
      <c r="F49" s="5">
        <v>1275.3696</v>
      </c>
      <c r="G49" s="4">
        <v>203.18950000000001</v>
      </c>
      <c r="H49" s="4">
        <v>1072.1801</v>
      </c>
      <c r="I49" s="4">
        <v>3.1937000000000002</v>
      </c>
      <c r="J49" s="4">
        <v>0.4027</v>
      </c>
      <c r="K49" s="4">
        <v>2.7909000000000002</v>
      </c>
      <c r="L49" s="4">
        <v>0</v>
      </c>
      <c r="M49" s="4">
        <v>31.0672</v>
      </c>
      <c r="N49" s="4">
        <v>0</v>
      </c>
      <c r="O49" s="4">
        <v>13058.063099999999</v>
      </c>
      <c r="P49" s="4">
        <v>12944.667799999999</v>
      </c>
      <c r="Q49" s="4">
        <v>12944.667799999999</v>
      </c>
      <c r="R49" s="4">
        <v>113.39530000000001</v>
      </c>
    </row>
    <row r="50" spans="1:18" x14ac:dyDescent="0.2">
      <c r="A50" s="3">
        <v>41791</v>
      </c>
      <c r="B50" s="4">
        <v>12466.0093</v>
      </c>
      <c r="C50" s="4">
        <v>10941.290199999999</v>
      </c>
      <c r="D50" s="4">
        <v>78.595299999999995</v>
      </c>
      <c r="E50" s="4">
        <v>10862.6949</v>
      </c>
      <c r="F50" s="5">
        <v>1491.5199</v>
      </c>
      <c r="G50" s="4">
        <v>558.93050000000005</v>
      </c>
      <c r="H50" s="4">
        <v>932.58950000000004</v>
      </c>
      <c r="I50" s="4">
        <v>3.5405000000000002</v>
      </c>
      <c r="J50" s="4">
        <v>0.41360000000000002</v>
      </c>
      <c r="K50" s="4">
        <v>3.1267999999999998</v>
      </c>
      <c r="L50" s="4">
        <v>0</v>
      </c>
      <c r="M50" s="4">
        <v>29.6586</v>
      </c>
      <c r="N50" s="4">
        <v>0</v>
      </c>
      <c r="O50" s="4">
        <v>12466.0093</v>
      </c>
      <c r="P50" s="4">
        <v>12357.755300000001</v>
      </c>
      <c r="Q50" s="4">
        <v>12357.755300000001</v>
      </c>
      <c r="R50" s="4">
        <v>108.2539</v>
      </c>
    </row>
    <row r="51" spans="1:18" x14ac:dyDescent="0.2">
      <c r="A51" s="3">
        <v>41883</v>
      </c>
      <c r="B51" s="4">
        <v>13393.2088</v>
      </c>
      <c r="C51" s="4">
        <v>11648.1517</v>
      </c>
      <c r="D51" s="4">
        <v>84.441100000000006</v>
      </c>
      <c r="E51" s="4">
        <v>11563.7106</v>
      </c>
      <c r="F51" s="5">
        <v>1710.2426</v>
      </c>
      <c r="G51" s="4">
        <v>612.31349999999998</v>
      </c>
      <c r="H51" s="4">
        <v>1097.9292</v>
      </c>
      <c r="I51" s="4">
        <v>2.9498000000000002</v>
      </c>
      <c r="J51" s="4">
        <v>0.40670000000000001</v>
      </c>
      <c r="K51" s="4">
        <v>2.5430999999999999</v>
      </c>
      <c r="L51" s="4">
        <v>0</v>
      </c>
      <c r="M51" s="4">
        <v>31.864599999999999</v>
      </c>
      <c r="N51" s="4">
        <v>0</v>
      </c>
      <c r="O51" s="4">
        <v>13393.2088</v>
      </c>
      <c r="P51" s="4">
        <v>13276.9031</v>
      </c>
      <c r="Q51" s="4">
        <v>13276.9031</v>
      </c>
      <c r="R51" s="4">
        <v>116.3057</v>
      </c>
    </row>
    <row r="52" spans="1:18" x14ac:dyDescent="0.2">
      <c r="A52" s="3">
        <v>41974</v>
      </c>
      <c r="B52" s="4">
        <v>13879.424300000001</v>
      </c>
      <c r="C52" s="4">
        <v>12459.351000000001</v>
      </c>
      <c r="D52" s="4">
        <v>87.506600000000006</v>
      </c>
      <c r="E52" s="4">
        <v>12371.844499999999</v>
      </c>
      <c r="F52" s="5">
        <v>1385.691</v>
      </c>
      <c r="G52" s="4">
        <v>218.08189999999999</v>
      </c>
      <c r="H52" s="4">
        <v>1167.6090999999999</v>
      </c>
      <c r="I52" s="4">
        <v>1.3609</v>
      </c>
      <c r="J52" s="4">
        <v>0</v>
      </c>
      <c r="K52" s="4">
        <v>1.3609</v>
      </c>
      <c r="L52" s="4">
        <v>0</v>
      </c>
      <c r="M52" s="4">
        <v>33.0214</v>
      </c>
      <c r="N52" s="4">
        <v>0</v>
      </c>
      <c r="O52" s="4">
        <v>13879.424300000001</v>
      </c>
      <c r="P52" s="4">
        <v>13758.8964</v>
      </c>
      <c r="Q52" s="4">
        <v>13758.8964</v>
      </c>
      <c r="R52" s="4">
        <v>120.5279</v>
      </c>
    </row>
    <row r="53" spans="1:18" x14ac:dyDescent="0.2">
      <c r="A53" s="3">
        <v>42064</v>
      </c>
      <c r="B53" s="4">
        <v>13810.973599999999</v>
      </c>
      <c r="C53" s="4">
        <v>12437.248299999999</v>
      </c>
      <c r="D53" s="4">
        <v>92.947999999999993</v>
      </c>
      <c r="E53" s="4">
        <v>12344.300300000001</v>
      </c>
      <c r="F53" s="5">
        <v>1323.8777</v>
      </c>
      <c r="G53" s="4">
        <v>455.93729999999999</v>
      </c>
      <c r="H53" s="4">
        <v>867.94029999999998</v>
      </c>
      <c r="I53" s="4">
        <v>0.63990000000000002</v>
      </c>
      <c r="J53" s="4">
        <v>0</v>
      </c>
      <c r="K53" s="4">
        <v>0.63990000000000002</v>
      </c>
      <c r="L53" s="4">
        <v>0</v>
      </c>
      <c r="M53" s="4">
        <v>49.207700000000003</v>
      </c>
      <c r="N53" s="4">
        <v>0</v>
      </c>
      <c r="O53" s="4">
        <v>13810.973599999999</v>
      </c>
      <c r="P53" s="4">
        <v>13668.8179</v>
      </c>
      <c r="Q53" s="4">
        <v>13668.8179</v>
      </c>
      <c r="R53" s="4">
        <v>142.1557</v>
      </c>
    </row>
    <row r="54" spans="1:18" x14ac:dyDescent="0.2">
      <c r="A54" s="3">
        <v>42156</v>
      </c>
      <c r="B54" s="4">
        <v>14103.8043</v>
      </c>
      <c r="C54" s="4">
        <v>12700.347900000001</v>
      </c>
      <c r="D54" s="4">
        <v>94.918700000000001</v>
      </c>
      <c r="E54" s="4">
        <v>12605.429099999999</v>
      </c>
      <c r="F54" s="5">
        <v>1353.2053000000001</v>
      </c>
      <c r="G54" s="4">
        <v>383.45929999999998</v>
      </c>
      <c r="H54" s="4">
        <v>969.74599999999998</v>
      </c>
      <c r="I54" s="4">
        <v>0</v>
      </c>
      <c r="J54" s="4">
        <v>0</v>
      </c>
      <c r="K54" s="4">
        <v>0</v>
      </c>
      <c r="L54" s="4">
        <v>0</v>
      </c>
      <c r="M54" s="4">
        <v>50.251100000000001</v>
      </c>
      <c r="N54" s="4">
        <v>0</v>
      </c>
      <c r="O54" s="4">
        <v>14103.8043</v>
      </c>
      <c r="P54" s="4">
        <v>13958.6345</v>
      </c>
      <c r="Q54" s="4">
        <v>13958.6345</v>
      </c>
      <c r="R54" s="4">
        <v>145.16980000000001</v>
      </c>
    </row>
    <row r="55" spans="1:18" x14ac:dyDescent="0.2">
      <c r="A55" s="3">
        <v>42248</v>
      </c>
      <c r="B55" s="4">
        <v>14434.797200000001</v>
      </c>
      <c r="C55" s="4">
        <v>13098.1679</v>
      </c>
      <c r="D55" s="4">
        <v>97.146299999999997</v>
      </c>
      <c r="E55" s="4">
        <v>13001.0216</v>
      </c>
      <c r="F55" s="5">
        <v>1285.1987999999999</v>
      </c>
      <c r="G55" s="4">
        <v>182.58930000000001</v>
      </c>
      <c r="H55" s="4">
        <v>1102.6096</v>
      </c>
      <c r="I55" s="4">
        <v>0</v>
      </c>
      <c r="J55" s="4">
        <v>0</v>
      </c>
      <c r="K55" s="4">
        <v>0</v>
      </c>
      <c r="L55" s="4">
        <v>0</v>
      </c>
      <c r="M55" s="4">
        <v>51.430399999999999</v>
      </c>
      <c r="N55" s="4">
        <v>0</v>
      </c>
      <c r="O55" s="4">
        <v>14434.797200000001</v>
      </c>
      <c r="P55" s="4">
        <v>14286.220499999999</v>
      </c>
      <c r="Q55" s="4">
        <v>14286.220499999999</v>
      </c>
      <c r="R55" s="4">
        <v>148.57669999999999</v>
      </c>
    </row>
    <row r="56" spans="1:18" x14ac:dyDescent="0.2">
      <c r="A56" s="3">
        <v>42339</v>
      </c>
      <c r="B56" s="4">
        <v>14255.6648</v>
      </c>
      <c r="C56" s="4">
        <v>13100.1512</v>
      </c>
      <c r="D56" s="4">
        <v>95.940700000000007</v>
      </c>
      <c r="E56" s="4">
        <v>13004.2104</v>
      </c>
      <c r="F56" s="5">
        <v>1104.7215000000001</v>
      </c>
      <c r="G56" s="4">
        <v>128.36060000000001</v>
      </c>
      <c r="H56" s="4">
        <v>976.36080000000004</v>
      </c>
      <c r="I56" s="4">
        <v>0</v>
      </c>
      <c r="J56" s="4">
        <v>0</v>
      </c>
      <c r="K56" s="4">
        <v>0</v>
      </c>
      <c r="L56" s="4">
        <v>0</v>
      </c>
      <c r="M56" s="4">
        <v>50.792200000000001</v>
      </c>
      <c r="N56" s="4">
        <v>0</v>
      </c>
      <c r="O56" s="4">
        <v>14255.6648</v>
      </c>
      <c r="P56" s="4">
        <v>14108.9319</v>
      </c>
      <c r="Q56" s="4">
        <v>14108.9319</v>
      </c>
      <c r="R56" s="4">
        <v>146.7329</v>
      </c>
    </row>
    <row r="57" spans="1:18" x14ac:dyDescent="0.2">
      <c r="A57" s="3">
        <v>42430</v>
      </c>
      <c r="B57" s="4">
        <v>15404.098599999999</v>
      </c>
      <c r="C57" s="4">
        <v>13610.6005</v>
      </c>
      <c r="D57" s="4">
        <v>69.995699999999999</v>
      </c>
      <c r="E57" s="4">
        <v>13540.604799999999</v>
      </c>
      <c r="F57" s="5">
        <v>1742.3003000000001</v>
      </c>
      <c r="G57" s="4">
        <v>424.255</v>
      </c>
      <c r="H57" s="4">
        <v>1318.0453</v>
      </c>
      <c r="I57" s="4">
        <v>0</v>
      </c>
      <c r="J57" s="4">
        <v>0</v>
      </c>
      <c r="K57" s="4">
        <v>0</v>
      </c>
      <c r="L57" s="4">
        <v>0</v>
      </c>
      <c r="M57" s="4">
        <v>51.197699999999998</v>
      </c>
      <c r="N57" s="4">
        <v>0</v>
      </c>
      <c r="O57" s="4">
        <v>15404.098599999999</v>
      </c>
      <c r="P57" s="4">
        <v>15282.9051</v>
      </c>
      <c r="Q57" s="4">
        <v>15282.9051</v>
      </c>
      <c r="R57" s="4">
        <v>121.1934</v>
      </c>
    </row>
    <row r="58" spans="1:18" x14ac:dyDescent="0.2">
      <c r="A58" s="3">
        <v>42522</v>
      </c>
      <c r="B58" s="4">
        <v>15184.2552</v>
      </c>
      <c r="C58" s="4">
        <v>13658.0034</v>
      </c>
      <c r="D58" s="4">
        <v>68.996700000000004</v>
      </c>
      <c r="E58" s="4">
        <v>13589.006600000001</v>
      </c>
      <c r="F58" s="5">
        <v>1475.7847999999999</v>
      </c>
      <c r="G58" s="4">
        <v>319.16410000000002</v>
      </c>
      <c r="H58" s="4">
        <v>1156.6206</v>
      </c>
      <c r="I58" s="4">
        <v>0</v>
      </c>
      <c r="J58" s="4">
        <v>0</v>
      </c>
      <c r="K58" s="4">
        <v>0</v>
      </c>
      <c r="L58" s="4">
        <v>0</v>
      </c>
      <c r="M58" s="4">
        <v>50.467100000000002</v>
      </c>
      <c r="N58" s="4">
        <v>0</v>
      </c>
      <c r="O58" s="4">
        <v>15184.2552</v>
      </c>
      <c r="P58" s="4">
        <v>15064.7914</v>
      </c>
      <c r="Q58" s="4">
        <v>15064.7914</v>
      </c>
      <c r="R58" s="4">
        <v>119.46380000000001</v>
      </c>
    </row>
    <row r="59" spans="1:18" x14ac:dyDescent="0.2">
      <c r="A59" s="3">
        <v>42614</v>
      </c>
      <c r="B59" s="4">
        <v>15010.311400000001</v>
      </c>
      <c r="C59" s="4">
        <v>13438.1371</v>
      </c>
      <c r="D59" s="4">
        <v>68.206299999999999</v>
      </c>
      <c r="E59" s="4">
        <v>13369.9308</v>
      </c>
      <c r="F59" s="5">
        <v>1522.2853</v>
      </c>
      <c r="G59" s="4">
        <v>305.37009999999998</v>
      </c>
      <c r="H59" s="4">
        <v>1216.9151999999999</v>
      </c>
      <c r="I59" s="4">
        <v>0</v>
      </c>
      <c r="J59" s="4">
        <v>0</v>
      </c>
      <c r="K59" s="4">
        <v>0</v>
      </c>
      <c r="L59" s="4">
        <v>0</v>
      </c>
      <c r="M59" s="4">
        <v>49.8889</v>
      </c>
      <c r="N59" s="4">
        <v>0</v>
      </c>
      <c r="O59" s="4">
        <v>15010.311400000001</v>
      </c>
      <c r="P59" s="4">
        <v>14892.2161</v>
      </c>
      <c r="Q59" s="4">
        <v>14892.2161</v>
      </c>
      <c r="R59" s="4">
        <v>118.09529999999999</v>
      </c>
    </row>
    <row r="60" spans="1:18" x14ac:dyDescent="0.2">
      <c r="A60" s="3">
        <v>42705</v>
      </c>
      <c r="B60" s="4">
        <v>15195.913399999999</v>
      </c>
      <c r="C60" s="4">
        <v>13750.5437</v>
      </c>
      <c r="D60" s="4">
        <v>69.049700000000001</v>
      </c>
      <c r="E60" s="4">
        <v>13681.494000000001</v>
      </c>
      <c r="F60" s="5">
        <v>1394.8638000000001</v>
      </c>
      <c r="G60" s="4">
        <v>172.8116</v>
      </c>
      <c r="H60" s="4">
        <v>1222.0523000000001</v>
      </c>
      <c r="I60" s="4">
        <v>0</v>
      </c>
      <c r="J60" s="4">
        <v>0</v>
      </c>
      <c r="K60" s="4">
        <v>0</v>
      </c>
      <c r="L60" s="4">
        <v>0</v>
      </c>
      <c r="M60" s="4">
        <v>50.505800000000001</v>
      </c>
      <c r="N60" s="4">
        <v>0</v>
      </c>
      <c r="O60" s="4">
        <v>15195.913399999999</v>
      </c>
      <c r="P60" s="4">
        <v>15076.3578</v>
      </c>
      <c r="Q60" s="4">
        <v>15076.3578</v>
      </c>
      <c r="R60" s="4">
        <v>119.55549999999999</v>
      </c>
    </row>
    <row r="61" spans="1:18" x14ac:dyDescent="0.2">
      <c r="A61" s="3">
        <v>42795</v>
      </c>
      <c r="B61" s="4">
        <v>16785.839400000001</v>
      </c>
      <c r="C61" s="4">
        <v>14852.4421</v>
      </c>
      <c r="D61" s="4">
        <v>74.469300000000004</v>
      </c>
      <c r="E61" s="4">
        <v>14777.972900000001</v>
      </c>
      <c r="F61" s="5">
        <v>1844.6324999999999</v>
      </c>
      <c r="G61" s="4">
        <v>416.04500000000002</v>
      </c>
      <c r="H61" s="4">
        <v>1428.5875000000001</v>
      </c>
      <c r="I61" s="4">
        <v>0</v>
      </c>
      <c r="J61" s="4">
        <v>0</v>
      </c>
      <c r="K61" s="4">
        <v>0</v>
      </c>
      <c r="L61" s="4">
        <v>0</v>
      </c>
      <c r="M61" s="4">
        <v>88.764700000000005</v>
      </c>
      <c r="N61" s="4">
        <v>0</v>
      </c>
      <c r="O61" s="4">
        <v>16785.839400000001</v>
      </c>
      <c r="P61" s="4">
        <v>16622.6054</v>
      </c>
      <c r="Q61" s="4">
        <v>16622.6054</v>
      </c>
      <c r="R61" s="4">
        <v>163.23400000000001</v>
      </c>
    </row>
    <row r="62" spans="1:18" x14ac:dyDescent="0.2">
      <c r="A62" s="3">
        <v>42887</v>
      </c>
      <c r="B62" s="4">
        <v>16858.446800000002</v>
      </c>
      <c r="C62" s="4">
        <v>14784.626399999999</v>
      </c>
      <c r="D62" s="4">
        <v>74.791399999999996</v>
      </c>
      <c r="E62" s="4">
        <v>14709.834999999999</v>
      </c>
      <c r="F62" s="5">
        <v>1984.6718000000001</v>
      </c>
      <c r="G62" s="4">
        <v>500.6216</v>
      </c>
      <c r="H62" s="4">
        <v>1484.0501999999999</v>
      </c>
      <c r="I62" s="4">
        <v>0</v>
      </c>
      <c r="J62" s="4">
        <v>0</v>
      </c>
      <c r="K62" s="4">
        <v>0</v>
      </c>
      <c r="L62" s="4">
        <v>0</v>
      </c>
      <c r="M62" s="4">
        <v>89.148700000000005</v>
      </c>
      <c r="N62" s="4">
        <v>0</v>
      </c>
      <c r="O62" s="4">
        <v>16858.446800000002</v>
      </c>
      <c r="P62" s="4">
        <v>16694.506799999999</v>
      </c>
      <c r="Q62" s="4">
        <v>16694.506799999999</v>
      </c>
      <c r="R62" s="4">
        <v>163.9401</v>
      </c>
    </row>
    <row r="63" spans="1:18" x14ac:dyDescent="0.2">
      <c r="A63" s="3">
        <v>42979</v>
      </c>
      <c r="B63" s="4">
        <v>17232.171900000001</v>
      </c>
      <c r="C63" s="4">
        <v>15359.0285</v>
      </c>
      <c r="D63" s="4">
        <v>76.449399999999997</v>
      </c>
      <c r="E63" s="4">
        <v>15282.579100000001</v>
      </c>
      <c r="F63" s="5">
        <v>1782.0184999999999</v>
      </c>
      <c r="G63" s="4">
        <v>245.61099999999999</v>
      </c>
      <c r="H63" s="4">
        <v>1536.4075</v>
      </c>
      <c r="I63" s="4">
        <v>0</v>
      </c>
      <c r="J63" s="4">
        <v>0</v>
      </c>
      <c r="K63" s="4">
        <v>0</v>
      </c>
      <c r="L63" s="4">
        <v>0</v>
      </c>
      <c r="M63" s="4">
        <v>91.125</v>
      </c>
      <c r="N63" s="4">
        <v>0</v>
      </c>
      <c r="O63" s="4">
        <v>17232.171900000001</v>
      </c>
      <c r="P63" s="4">
        <v>17064.597600000001</v>
      </c>
      <c r="Q63" s="4">
        <v>17064.597600000001</v>
      </c>
      <c r="R63" s="4">
        <v>167.57429999999999</v>
      </c>
    </row>
    <row r="64" spans="1:18" x14ac:dyDescent="0.2">
      <c r="A64" s="3">
        <v>43070</v>
      </c>
      <c r="B64" s="4">
        <v>15774.4625</v>
      </c>
      <c r="C64" s="4">
        <v>14119.074199999999</v>
      </c>
      <c r="D64" s="4">
        <v>69.982399999999998</v>
      </c>
      <c r="E64" s="4">
        <v>14049.091899999999</v>
      </c>
      <c r="F64" s="5">
        <v>1571.9718</v>
      </c>
      <c r="G64" s="4">
        <v>168.29599999999999</v>
      </c>
      <c r="H64" s="4">
        <v>1403.6758</v>
      </c>
      <c r="I64" s="4">
        <v>0</v>
      </c>
      <c r="J64" s="4">
        <v>0</v>
      </c>
      <c r="K64" s="4">
        <v>0</v>
      </c>
      <c r="L64" s="4">
        <v>0</v>
      </c>
      <c r="M64" s="4">
        <v>83.416499999999999</v>
      </c>
      <c r="N64" s="4">
        <v>0</v>
      </c>
      <c r="O64" s="4">
        <v>15774.4625</v>
      </c>
      <c r="P64" s="4">
        <v>15621.063599999999</v>
      </c>
      <c r="Q64" s="4">
        <v>15621.063599999999</v>
      </c>
      <c r="R64" s="4">
        <v>153.39879999999999</v>
      </c>
    </row>
    <row r="65" spans="1:18" x14ac:dyDescent="0.2">
      <c r="A65" s="3">
        <v>43160</v>
      </c>
      <c r="B65" s="4">
        <v>18218.591799999998</v>
      </c>
      <c r="C65" s="4">
        <v>15531.447</v>
      </c>
      <c r="D65" s="4">
        <v>74.640600000000006</v>
      </c>
      <c r="E65" s="4">
        <v>15456.806399999999</v>
      </c>
      <c r="F65" s="5">
        <v>2528.8708999999999</v>
      </c>
      <c r="G65" s="4">
        <v>648.09730000000002</v>
      </c>
      <c r="H65" s="4">
        <v>1880.7736</v>
      </c>
      <c r="I65" s="4">
        <v>0</v>
      </c>
      <c r="J65" s="4">
        <v>0</v>
      </c>
      <c r="K65" s="4">
        <v>0</v>
      </c>
      <c r="L65" s="4">
        <v>0</v>
      </c>
      <c r="M65" s="4">
        <v>158.274</v>
      </c>
      <c r="N65" s="4">
        <v>0</v>
      </c>
      <c r="O65" s="4">
        <v>18218.591799999998</v>
      </c>
      <c r="P65" s="4">
        <v>17985.677299999999</v>
      </c>
      <c r="Q65" s="4">
        <v>17985.677299999999</v>
      </c>
      <c r="R65" s="4">
        <v>232.9145</v>
      </c>
    </row>
    <row r="66" spans="1:18" x14ac:dyDescent="0.2">
      <c r="A66" s="3">
        <v>43252</v>
      </c>
      <c r="B66" s="4">
        <v>18306.0648</v>
      </c>
      <c r="C66" s="4">
        <v>15761.675499999999</v>
      </c>
      <c r="D66" s="4">
        <v>74.998900000000006</v>
      </c>
      <c r="E66" s="4">
        <v>15686.6765</v>
      </c>
      <c r="F66" s="5">
        <v>2385.3553999999999</v>
      </c>
      <c r="G66" s="4">
        <v>483.86939999999998</v>
      </c>
      <c r="H66" s="4">
        <v>1901.4861000000001</v>
      </c>
      <c r="I66" s="4">
        <v>0</v>
      </c>
      <c r="J66" s="4">
        <v>0</v>
      </c>
      <c r="K66" s="4">
        <v>0</v>
      </c>
      <c r="L66" s="4">
        <v>0</v>
      </c>
      <c r="M66" s="4">
        <v>159.03389999999999</v>
      </c>
      <c r="N66" s="4">
        <v>0</v>
      </c>
      <c r="O66" s="4">
        <v>18306.0648</v>
      </c>
      <c r="P66" s="4">
        <v>18072.031999999999</v>
      </c>
      <c r="Q66" s="4">
        <v>18072.031999999999</v>
      </c>
      <c r="R66" s="4">
        <v>234.03280000000001</v>
      </c>
    </row>
    <row r="67" spans="1:18" x14ac:dyDescent="0.2">
      <c r="A67" s="3">
        <v>43344</v>
      </c>
      <c r="B67" s="4">
        <v>18189.5635</v>
      </c>
      <c r="C67" s="4">
        <v>15199.02</v>
      </c>
      <c r="D67" s="4">
        <v>74.521600000000007</v>
      </c>
      <c r="E67" s="4">
        <v>15124.498299999999</v>
      </c>
      <c r="F67" s="5">
        <v>2832.5216999999998</v>
      </c>
      <c r="G67" s="4">
        <v>792.72720000000004</v>
      </c>
      <c r="H67" s="4">
        <v>2039.7945</v>
      </c>
      <c r="I67" s="4">
        <v>0</v>
      </c>
      <c r="J67" s="4">
        <v>0</v>
      </c>
      <c r="K67" s="4">
        <v>0</v>
      </c>
      <c r="L67" s="4">
        <v>0</v>
      </c>
      <c r="M67" s="4">
        <v>158.02180000000001</v>
      </c>
      <c r="N67" s="4">
        <v>0</v>
      </c>
      <c r="O67" s="4">
        <v>18189.5635</v>
      </c>
      <c r="P67" s="4">
        <v>17957.02</v>
      </c>
      <c r="Q67" s="4">
        <v>17957.02</v>
      </c>
      <c r="R67" s="4">
        <v>232.54339999999999</v>
      </c>
    </row>
    <row r="68" spans="1:18" x14ac:dyDescent="0.2">
      <c r="A68" s="3">
        <v>43435</v>
      </c>
      <c r="B68" s="4">
        <v>17386.877499999999</v>
      </c>
      <c r="C68" s="4">
        <v>14579.4709</v>
      </c>
      <c r="D68" s="4">
        <v>71.233099999999993</v>
      </c>
      <c r="E68" s="4">
        <v>14508.2379</v>
      </c>
      <c r="F68" s="5">
        <v>2656.3580999999999</v>
      </c>
      <c r="G68" s="4">
        <v>394.5521</v>
      </c>
      <c r="H68" s="4">
        <v>2261.806</v>
      </c>
      <c r="I68" s="4">
        <v>0</v>
      </c>
      <c r="J68" s="4">
        <v>0</v>
      </c>
      <c r="K68" s="4">
        <v>0</v>
      </c>
      <c r="L68" s="4">
        <v>0</v>
      </c>
      <c r="M68" s="4">
        <v>151.04839999999999</v>
      </c>
      <c r="N68" s="4">
        <v>0</v>
      </c>
      <c r="O68" s="4">
        <v>17386.877499999999</v>
      </c>
      <c r="P68" s="4">
        <v>17164.5959</v>
      </c>
      <c r="Q68" s="4">
        <v>17164.5959</v>
      </c>
      <c r="R68" s="4">
        <v>222.28149999999999</v>
      </c>
    </row>
    <row r="69" spans="1:18" x14ac:dyDescent="0.2">
      <c r="A69" s="3">
        <v>43525</v>
      </c>
      <c r="B69" s="4">
        <v>18652.362700000001</v>
      </c>
      <c r="C69" s="4">
        <v>14906.215399999999</v>
      </c>
      <c r="D69" s="4">
        <v>74.633899999999997</v>
      </c>
      <c r="E69" s="4">
        <v>14831.5815</v>
      </c>
      <c r="F69" s="5">
        <v>3687.9958000000001</v>
      </c>
      <c r="G69" s="4">
        <v>1649.9927</v>
      </c>
      <c r="H69" s="4">
        <v>2038.0030999999999</v>
      </c>
      <c r="I69" s="4">
        <v>0</v>
      </c>
      <c r="J69" s="4">
        <v>0</v>
      </c>
      <c r="K69" s="4">
        <v>0</v>
      </c>
      <c r="L69" s="4">
        <v>0</v>
      </c>
      <c r="M69" s="4">
        <v>58.151499999999999</v>
      </c>
      <c r="N69" s="4">
        <v>0</v>
      </c>
      <c r="O69" s="4">
        <v>18652.362700000001</v>
      </c>
      <c r="P69" s="4">
        <v>18519.577300000001</v>
      </c>
      <c r="Q69" s="4">
        <v>18519.577300000001</v>
      </c>
      <c r="R69" s="4">
        <v>132.78540000000001</v>
      </c>
    </row>
    <row r="70" spans="1:18" x14ac:dyDescent="0.2">
      <c r="A70" s="3">
        <v>43617</v>
      </c>
      <c r="B70" s="4">
        <v>19706.0972</v>
      </c>
      <c r="C70" s="4">
        <v>16533.5213</v>
      </c>
      <c r="D70" s="4">
        <v>78.850200000000001</v>
      </c>
      <c r="E70" s="4">
        <v>16454.670999999998</v>
      </c>
      <c r="F70" s="5">
        <v>3111.1392999999998</v>
      </c>
      <c r="G70" s="4">
        <v>1032.3948</v>
      </c>
      <c r="H70" s="4">
        <v>2078.7444999999998</v>
      </c>
      <c r="I70" s="4">
        <v>0</v>
      </c>
      <c r="J70" s="4">
        <v>0</v>
      </c>
      <c r="K70" s="4">
        <v>0</v>
      </c>
      <c r="L70" s="4">
        <v>0</v>
      </c>
      <c r="M70" s="4">
        <v>61.436599999999999</v>
      </c>
      <c r="N70" s="4">
        <v>0</v>
      </c>
      <c r="O70" s="4">
        <v>19706.0972</v>
      </c>
      <c r="P70" s="4">
        <v>19565.810300000001</v>
      </c>
      <c r="Q70" s="4">
        <v>19565.810300000001</v>
      </c>
      <c r="R70" s="4">
        <v>140.2869</v>
      </c>
    </row>
    <row r="71" spans="1:18" x14ac:dyDescent="0.2">
      <c r="A71" s="3">
        <v>43709</v>
      </c>
      <c r="B71" s="4">
        <v>20129.362499999999</v>
      </c>
      <c r="C71" s="4">
        <v>17624.831200000001</v>
      </c>
      <c r="D71" s="4">
        <v>80.543800000000005</v>
      </c>
      <c r="E71" s="4">
        <v>17544.2873</v>
      </c>
      <c r="F71" s="5">
        <v>2441.7750999999998</v>
      </c>
      <c r="G71" s="4">
        <v>324.58749999999998</v>
      </c>
      <c r="H71" s="4">
        <v>2117.1876000000002</v>
      </c>
      <c r="I71" s="4">
        <v>0</v>
      </c>
      <c r="J71" s="4">
        <v>0</v>
      </c>
      <c r="K71" s="4">
        <v>0</v>
      </c>
      <c r="L71" s="4">
        <v>0</v>
      </c>
      <c r="M71" s="4">
        <v>62.7562</v>
      </c>
      <c r="N71" s="4">
        <v>0</v>
      </c>
      <c r="O71" s="4">
        <v>20129.362499999999</v>
      </c>
      <c r="P71" s="4">
        <v>19986.0625</v>
      </c>
      <c r="Q71" s="4">
        <v>19986.0625</v>
      </c>
      <c r="R71" s="4">
        <v>143.30009999999999</v>
      </c>
    </row>
    <row r="72" spans="1:18" x14ac:dyDescent="0.2">
      <c r="A72" s="3">
        <v>43800</v>
      </c>
      <c r="B72" s="4">
        <v>23017.966700000001</v>
      </c>
      <c r="C72" s="4">
        <v>19962.289499999999</v>
      </c>
      <c r="D72" s="4">
        <v>92.102000000000004</v>
      </c>
      <c r="E72" s="4">
        <v>19870.1875</v>
      </c>
      <c r="F72" s="5">
        <v>2983.9153000000001</v>
      </c>
      <c r="G72" s="4">
        <v>548.76319999999998</v>
      </c>
      <c r="H72" s="4">
        <v>2435.1520999999998</v>
      </c>
      <c r="I72" s="4">
        <v>0</v>
      </c>
      <c r="J72" s="4">
        <v>0</v>
      </c>
      <c r="K72" s="4">
        <v>0</v>
      </c>
      <c r="L72" s="4">
        <v>0</v>
      </c>
      <c r="M72" s="4">
        <v>71.761899999999997</v>
      </c>
      <c r="N72" s="4">
        <v>0</v>
      </c>
      <c r="O72" s="4">
        <v>23017.966700000001</v>
      </c>
      <c r="P72" s="4">
        <v>22854.102800000001</v>
      </c>
      <c r="Q72" s="4">
        <v>22854.102800000001</v>
      </c>
      <c r="R72" s="4">
        <v>163.8639</v>
      </c>
    </row>
    <row r="73" spans="1:18" x14ac:dyDescent="0.2">
      <c r="A73" s="3">
        <v>43891</v>
      </c>
      <c r="B73" s="4">
        <v>26839.764999999999</v>
      </c>
      <c r="C73" s="4">
        <v>23514.1944</v>
      </c>
      <c r="D73" s="4">
        <v>107.3942</v>
      </c>
      <c r="E73" s="4">
        <v>23406.800200000001</v>
      </c>
      <c r="F73" s="5">
        <v>3241.8937000000001</v>
      </c>
      <c r="G73" s="4">
        <v>602.43029999999999</v>
      </c>
      <c r="H73" s="4">
        <v>2639.4634000000001</v>
      </c>
      <c r="I73" s="4">
        <v>0</v>
      </c>
      <c r="J73" s="4">
        <v>0</v>
      </c>
      <c r="K73" s="4">
        <v>0</v>
      </c>
      <c r="L73" s="4">
        <v>0</v>
      </c>
      <c r="M73" s="4">
        <v>83.676900000000003</v>
      </c>
      <c r="N73" s="4">
        <v>0</v>
      </c>
      <c r="O73" s="4">
        <v>26839.764999999999</v>
      </c>
      <c r="P73" s="4">
        <v>26648.693899999998</v>
      </c>
      <c r="Q73" s="4">
        <v>26648.693899999998</v>
      </c>
      <c r="R73" s="4">
        <v>191.0711</v>
      </c>
    </row>
    <row r="74" spans="1:18" x14ac:dyDescent="0.2">
      <c r="A74" s="3">
        <v>43983</v>
      </c>
      <c r="B74" s="4">
        <v>29116.155699999999</v>
      </c>
      <c r="C74" s="4">
        <v>22777.2186</v>
      </c>
      <c r="D74" s="4">
        <v>116.50279999999999</v>
      </c>
      <c r="E74" s="4">
        <v>22660.715800000002</v>
      </c>
      <c r="F74" s="5">
        <v>6248.1633000000002</v>
      </c>
      <c r="G74" s="4">
        <v>4209.3775999999998</v>
      </c>
      <c r="H74" s="4">
        <v>2038.7856999999999</v>
      </c>
      <c r="I74" s="4">
        <v>0</v>
      </c>
      <c r="J74" s="4">
        <v>0</v>
      </c>
      <c r="K74" s="4">
        <v>0</v>
      </c>
      <c r="L74" s="4">
        <v>0</v>
      </c>
      <c r="M74" s="4">
        <v>90.773899999999998</v>
      </c>
      <c r="N74" s="4">
        <v>0</v>
      </c>
      <c r="O74" s="4">
        <v>29116.155699999999</v>
      </c>
      <c r="P74" s="4">
        <v>28908.879099999998</v>
      </c>
      <c r="Q74" s="4">
        <v>28908.879099999998</v>
      </c>
      <c r="R74" s="4">
        <v>207.27670000000001</v>
      </c>
    </row>
    <row r="75" spans="1:18" x14ac:dyDescent="0.2">
      <c r="A75" s="3">
        <v>44075</v>
      </c>
      <c r="B75" s="4">
        <v>28560.6168</v>
      </c>
      <c r="C75" s="4">
        <v>16354.0897</v>
      </c>
      <c r="D75" s="4">
        <v>114.2799</v>
      </c>
      <c r="E75" s="4">
        <v>16239.809800000001</v>
      </c>
      <c r="F75" s="5">
        <v>12117.485199999999</v>
      </c>
      <c r="G75" s="4">
        <v>9507.0380000000005</v>
      </c>
      <c r="H75" s="4">
        <v>2610.4472999999998</v>
      </c>
      <c r="I75" s="4">
        <v>0</v>
      </c>
      <c r="J75" s="4">
        <v>0</v>
      </c>
      <c r="K75" s="4">
        <v>0</v>
      </c>
      <c r="L75" s="4">
        <v>0</v>
      </c>
      <c r="M75" s="4">
        <v>89.041899999999998</v>
      </c>
      <c r="N75" s="4">
        <v>0</v>
      </c>
      <c r="O75" s="4">
        <v>28560.6168</v>
      </c>
      <c r="P75" s="4">
        <v>28357.294999999998</v>
      </c>
      <c r="Q75" s="4">
        <v>28357.294999999998</v>
      </c>
      <c r="R75" s="4">
        <v>203.3218</v>
      </c>
    </row>
    <row r="76" spans="1:18" x14ac:dyDescent="0.2">
      <c r="A76" s="3">
        <v>44166</v>
      </c>
      <c r="B76" s="4">
        <v>26716.891500000002</v>
      </c>
      <c r="C76" s="4">
        <v>16695.5458</v>
      </c>
      <c r="D76" s="4">
        <v>106.90260000000001</v>
      </c>
      <c r="E76" s="4">
        <v>16588.643199999999</v>
      </c>
      <c r="F76" s="5">
        <v>9938.0519000000004</v>
      </c>
      <c r="G76" s="4">
        <v>7106.6064999999999</v>
      </c>
      <c r="H76" s="4">
        <v>2831.4452999999999</v>
      </c>
      <c r="I76" s="4">
        <v>0</v>
      </c>
      <c r="J76" s="4">
        <v>0</v>
      </c>
      <c r="K76" s="4">
        <v>0</v>
      </c>
      <c r="L76" s="4">
        <v>0</v>
      </c>
      <c r="M76" s="4">
        <v>83.293800000000005</v>
      </c>
      <c r="N76" s="4">
        <v>0</v>
      </c>
      <c r="O76" s="4">
        <v>26716.891500000002</v>
      </c>
      <c r="P76" s="4">
        <v>26526.695100000001</v>
      </c>
      <c r="Q76" s="4">
        <v>26526.695100000001</v>
      </c>
      <c r="R76" s="4">
        <v>190.19640000000001</v>
      </c>
    </row>
    <row r="77" spans="1:18" x14ac:dyDescent="0.2">
      <c r="A77" s="3">
        <v>44256</v>
      </c>
      <c r="B77" s="4">
        <v>26708.364300000001</v>
      </c>
      <c r="C77" s="4">
        <v>15713.896500000001</v>
      </c>
      <c r="D77" s="4">
        <v>106.8685</v>
      </c>
      <c r="E77" s="4">
        <v>15607.0281</v>
      </c>
      <c r="F77" s="5">
        <v>10911.200500000001</v>
      </c>
      <c r="G77" s="4">
        <v>7687.6733999999997</v>
      </c>
      <c r="H77" s="4">
        <v>3223.5270999999998</v>
      </c>
      <c r="I77" s="4">
        <v>0</v>
      </c>
      <c r="J77" s="4">
        <v>0</v>
      </c>
      <c r="K77" s="4">
        <v>0</v>
      </c>
      <c r="L77" s="4">
        <v>0</v>
      </c>
      <c r="M77" s="4">
        <v>83.267200000000003</v>
      </c>
      <c r="N77" s="4">
        <v>0</v>
      </c>
      <c r="O77" s="4">
        <v>26708.364300000001</v>
      </c>
      <c r="P77" s="4">
        <v>26518.228599999999</v>
      </c>
      <c r="Q77" s="4">
        <v>26518.228599999999</v>
      </c>
      <c r="R77" s="4">
        <v>190.13570000000001</v>
      </c>
    </row>
    <row r="78" spans="1:18" x14ac:dyDescent="0.2">
      <c r="A78" s="3">
        <v>44348</v>
      </c>
      <c r="B78" s="4">
        <v>26145.8694</v>
      </c>
      <c r="C78" s="4">
        <v>15252.063</v>
      </c>
      <c r="D78" s="4">
        <v>104.6177</v>
      </c>
      <c r="E78" s="4">
        <v>15147.4452</v>
      </c>
      <c r="F78" s="5">
        <v>10812.2929</v>
      </c>
      <c r="G78" s="4">
        <v>7865.2834000000003</v>
      </c>
      <c r="H78" s="4">
        <v>2947.0095000000001</v>
      </c>
      <c r="I78" s="4">
        <v>0</v>
      </c>
      <c r="J78" s="4">
        <v>0</v>
      </c>
      <c r="K78" s="4">
        <v>0</v>
      </c>
      <c r="L78" s="4">
        <v>0</v>
      </c>
      <c r="M78" s="4">
        <v>81.513599999999997</v>
      </c>
      <c r="N78" s="4">
        <v>0</v>
      </c>
      <c r="O78" s="4">
        <v>26145.8694</v>
      </c>
      <c r="P78" s="4">
        <v>25959.738099999999</v>
      </c>
      <c r="Q78" s="4">
        <v>25959.738099999999</v>
      </c>
      <c r="R78" s="4">
        <v>186.13130000000001</v>
      </c>
    </row>
    <row r="79" spans="1:18" x14ac:dyDescent="0.2">
      <c r="A79" s="3">
        <v>44440</v>
      </c>
      <c r="B79" s="4">
        <v>27094.067500000001</v>
      </c>
      <c r="C79" s="4">
        <v>12175.954299999999</v>
      </c>
      <c r="D79" s="4">
        <v>108.4118</v>
      </c>
      <c r="E79" s="4">
        <v>12067.5425</v>
      </c>
      <c r="F79" s="5">
        <v>14833.6435</v>
      </c>
      <c r="G79" s="4">
        <v>11951.668</v>
      </c>
      <c r="H79" s="4">
        <v>2881.9755</v>
      </c>
      <c r="I79" s="4">
        <v>0</v>
      </c>
      <c r="J79" s="4">
        <v>0</v>
      </c>
      <c r="K79" s="4">
        <v>0</v>
      </c>
      <c r="L79" s="4">
        <v>0</v>
      </c>
      <c r="M79" s="4">
        <v>84.469700000000003</v>
      </c>
      <c r="N79" s="4">
        <v>0</v>
      </c>
      <c r="O79" s="4">
        <v>27094.067500000001</v>
      </c>
      <c r="P79" s="4">
        <v>26901.186000000002</v>
      </c>
      <c r="Q79" s="4">
        <v>26901.186000000002</v>
      </c>
      <c r="R79" s="4">
        <v>192.88149999999999</v>
      </c>
    </row>
    <row r="80" spans="1:18" x14ac:dyDescent="0.2">
      <c r="A80" s="3">
        <v>44531</v>
      </c>
      <c r="B80" s="4">
        <v>25548.753400000001</v>
      </c>
      <c r="C80" s="4">
        <v>9745.1478999999999</v>
      </c>
      <c r="D80" s="4">
        <v>102.2285</v>
      </c>
      <c r="E80" s="4">
        <v>9642.9194000000007</v>
      </c>
      <c r="F80" s="5">
        <v>15723.9535</v>
      </c>
      <c r="G80" s="4">
        <v>12970.4558</v>
      </c>
      <c r="H80" s="4">
        <v>2753.4978000000001</v>
      </c>
      <c r="I80" s="4">
        <v>0</v>
      </c>
      <c r="J80" s="4">
        <v>0</v>
      </c>
      <c r="K80" s="4">
        <v>0</v>
      </c>
      <c r="L80" s="4">
        <v>0</v>
      </c>
      <c r="M80" s="4">
        <v>79.652000000000001</v>
      </c>
      <c r="N80" s="4">
        <v>0</v>
      </c>
      <c r="O80" s="4">
        <v>25548.753400000001</v>
      </c>
      <c r="P80" s="4">
        <v>25366.872899999998</v>
      </c>
      <c r="Q80" s="4">
        <v>25366.872899999998</v>
      </c>
      <c r="R80" s="4">
        <v>181.88050000000001</v>
      </c>
    </row>
    <row r="81" spans="1:18" x14ac:dyDescent="0.2">
      <c r="A81" s="3">
        <v>44621</v>
      </c>
      <c r="B81" s="4">
        <v>24185.843099999998</v>
      </c>
      <c r="C81" s="4">
        <v>9400.5092999999997</v>
      </c>
      <c r="D81" s="4">
        <v>96.775099999999995</v>
      </c>
      <c r="E81" s="4">
        <v>9303.7342000000008</v>
      </c>
      <c r="F81" s="5">
        <v>14709.930899999999</v>
      </c>
      <c r="G81" s="4">
        <v>12247.1379</v>
      </c>
      <c r="H81" s="4">
        <v>2462.7930000000001</v>
      </c>
      <c r="I81" s="4">
        <v>0</v>
      </c>
      <c r="J81" s="4">
        <v>0</v>
      </c>
      <c r="K81" s="4">
        <v>0</v>
      </c>
      <c r="L81" s="4">
        <v>0</v>
      </c>
      <c r="M81" s="4">
        <v>75.402900000000002</v>
      </c>
      <c r="N81" s="4">
        <v>0</v>
      </c>
      <c r="O81" s="4">
        <v>24185.843099999998</v>
      </c>
      <c r="P81" s="4">
        <v>24013.665199999999</v>
      </c>
      <c r="Q81" s="4">
        <v>24013.665199999999</v>
      </c>
      <c r="R81" s="4">
        <v>172.178</v>
      </c>
    </row>
    <row r="82" spans="1:18" x14ac:dyDescent="0.2">
      <c r="A82" s="3">
        <v>44713</v>
      </c>
      <c r="B82" s="4">
        <v>25926.205600000001</v>
      </c>
      <c r="C82" s="4">
        <v>10813.168299999999</v>
      </c>
      <c r="D82" s="4">
        <v>103.7388</v>
      </c>
      <c r="E82" s="4">
        <v>10709.4295</v>
      </c>
      <c r="F82" s="5">
        <v>15032.2086</v>
      </c>
      <c r="G82" s="4">
        <v>12441.286899999999</v>
      </c>
      <c r="H82" s="4">
        <v>2590.9216000000001</v>
      </c>
      <c r="I82" s="4">
        <v>0</v>
      </c>
      <c r="J82" s="4">
        <v>0</v>
      </c>
      <c r="K82" s="4">
        <v>0</v>
      </c>
      <c r="L82" s="4">
        <v>0</v>
      </c>
      <c r="M82" s="4">
        <v>80.828699999999998</v>
      </c>
      <c r="N82" s="4">
        <v>0</v>
      </c>
      <c r="O82" s="4">
        <v>25926.205600000001</v>
      </c>
      <c r="P82" s="4">
        <v>25741.6381</v>
      </c>
      <c r="Q82" s="4">
        <v>25741.6381</v>
      </c>
      <c r="R82" s="4">
        <v>184.5675</v>
      </c>
    </row>
    <row r="83" spans="1:18" x14ac:dyDescent="0.2">
      <c r="A83" s="3">
        <v>44805</v>
      </c>
      <c r="B83" s="4">
        <v>26276.3004</v>
      </c>
      <c r="C83" s="4">
        <v>11373.738799999999</v>
      </c>
      <c r="D83" s="4">
        <v>105.1396</v>
      </c>
      <c r="E83" s="4">
        <v>11268.599099999999</v>
      </c>
      <c r="F83" s="5">
        <v>14820.6414</v>
      </c>
      <c r="G83" s="4">
        <v>12029.522999999999</v>
      </c>
      <c r="H83" s="4">
        <v>2791.1185</v>
      </c>
      <c r="I83" s="4">
        <v>0</v>
      </c>
      <c r="J83" s="4">
        <v>0</v>
      </c>
      <c r="K83" s="4">
        <v>0</v>
      </c>
      <c r="L83" s="4">
        <v>0</v>
      </c>
      <c r="M83" s="4">
        <v>81.920199999999994</v>
      </c>
      <c r="N83" s="4">
        <v>0</v>
      </c>
      <c r="O83" s="4">
        <v>26276.3004</v>
      </c>
      <c r="P83" s="4">
        <v>26089.240600000001</v>
      </c>
      <c r="Q83" s="4">
        <v>26089.240600000001</v>
      </c>
      <c r="R83" s="4">
        <v>187.0599</v>
      </c>
    </row>
    <row r="84" spans="1:18" x14ac:dyDescent="0.2">
      <c r="A84" s="3">
        <v>44896</v>
      </c>
      <c r="B84" s="4">
        <v>25307.186900000001</v>
      </c>
      <c r="C84" s="4">
        <v>12618.4107</v>
      </c>
      <c r="D84" s="4">
        <v>101.2619</v>
      </c>
      <c r="E84" s="4">
        <v>12517.148800000001</v>
      </c>
      <c r="F84" s="5">
        <v>12609.877399999999</v>
      </c>
      <c r="G84" s="4">
        <v>10144.0326</v>
      </c>
      <c r="H84" s="4">
        <v>2465.8447999999999</v>
      </c>
      <c r="I84" s="4">
        <v>0</v>
      </c>
      <c r="J84" s="4">
        <v>0</v>
      </c>
      <c r="K84" s="4">
        <v>0</v>
      </c>
      <c r="L84" s="4">
        <v>0</v>
      </c>
      <c r="M84" s="4">
        <v>78.898899999999998</v>
      </c>
      <c r="N84" s="4">
        <v>0</v>
      </c>
      <c r="O84" s="4">
        <v>25307.186900000001</v>
      </c>
      <c r="P84" s="4">
        <v>25127.0262</v>
      </c>
      <c r="Q84" s="4">
        <v>25127.0262</v>
      </c>
      <c r="R84" s="4">
        <v>180.16079999999999</v>
      </c>
    </row>
    <row r="85" spans="1:18" x14ac:dyDescent="0.2">
      <c r="A85" s="3">
        <v>44986</v>
      </c>
      <c r="B85" s="4">
        <v>26442.251799999998</v>
      </c>
      <c r="C85" s="4">
        <v>13047.002500000001</v>
      </c>
      <c r="D85" s="4">
        <v>105.80370000000001</v>
      </c>
      <c r="E85" s="4">
        <v>12941.198899999999</v>
      </c>
      <c r="F85" s="5">
        <v>13312.8117</v>
      </c>
      <c r="G85" s="4">
        <v>10854.676799999999</v>
      </c>
      <c r="H85" s="4">
        <v>2458.1350000000002</v>
      </c>
      <c r="I85" s="4">
        <v>0</v>
      </c>
      <c r="J85" s="4">
        <v>0</v>
      </c>
      <c r="K85" s="4">
        <v>0</v>
      </c>
      <c r="L85" s="4">
        <v>0</v>
      </c>
      <c r="M85" s="4">
        <v>82.437600000000003</v>
      </c>
      <c r="N85" s="4">
        <v>0</v>
      </c>
      <c r="O85" s="4">
        <v>26442.251799999998</v>
      </c>
      <c r="P85" s="4">
        <v>26254.010600000001</v>
      </c>
      <c r="Q85" s="4">
        <v>26254.010600000001</v>
      </c>
      <c r="R85" s="4">
        <v>188.2413</v>
      </c>
    </row>
    <row r="86" spans="1:18" x14ac:dyDescent="0.2">
      <c r="A86" s="3">
        <v>45078</v>
      </c>
      <c r="B86" s="4">
        <v>28419.580399999999</v>
      </c>
      <c r="C86" s="4">
        <v>13835.6387</v>
      </c>
      <c r="D86" s="4">
        <v>113.71559999999999</v>
      </c>
      <c r="E86" s="4">
        <v>13721.923199999999</v>
      </c>
      <c r="F86" s="5">
        <v>14495.3395</v>
      </c>
      <c r="G86" s="4">
        <v>11869.540499999999</v>
      </c>
      <c r="H86" s="4">
        <v>2625.799</v>
      </c>
      <c r="I86" s="4">
        <v>0</v>
      </c>
      <c r="J86" s="4">
        <v>0</v>
      </c>
      <c r="K86" s="4">
        <v>0</v>
      </c>
      <c r="L86" s="4">
        <v>0</v>
      </c>
      <c r="M86" s="4">
        <v>88.602199999999996</v>
      </c>
      <c r="N86" s="4">
        <v>0</v>
      </c>
      <c r="O86" s="4">
        <v>28419.580399999999</v>
      </c>
      <c r="P86" s="4">
        <v>28217.262599999998</v>
      </c>
      <c r="Q86" s="4">
        <v>28217.262599999998</v>
      </c>
      <c r="R86" s="4">
        <v>202.31780000000001</v>
      </c>
    </row>
    <row r="87" spans="1:18" x14ac:dyDescent="0.2">
      <c r="A87" s="3">
        <v>45170</v>
      </c>
      <c r="B87" s="4">
        <v>32978.919600000001</v>
      </c>
      <c r="C87" s="4">
        <v>13698.787200000001</v>
      </c>
      <c r="D87" s="4">
        <v>131.9589</v>
      </c>
      <c r="E87" s="4">
        <v>13566.828299999999</v>
      </c>
      <c r="F87" s="5">
        <v>19177.315699999999</v>
      </c>
      <c r="G87" s="4">
        <v>16048.7444</v>
      </c>
      <c r="H87" s="4">
        <v>3128.5713999999998</v>
      </c>
      <c r="I87" s="4">
        <v>0</v>
      </c>
      <c r="J87" s="4">
        <v>0</v>
      </c>
      <c r="K87" s="4">
        <v>0</v>
      </c>
      <c r="L87" s="4">
        <v>0</v>
      </c>
      <c r="M87" s="4">
        <v>102.81659999999999</v>
      </c>
      <c r="N87" s="4">
        <v>0</v>
      </c>
      <c r="O87" s="4">
        <v>32978.919600000001</v>
      </c>
      <c r="P87" s="4">
        <v>32744.144100000001</v>
      </c>
      <c r="Q87" s="4">
        <v>32744.144100000001</v>
      </c>
      <c r="R87" s="4">
        <v>234.77549999999999</v>
      </c>
    </row>
    <row r="88" spans="1:18" x14ac:dyDescent="0.2">
      <c r="A88" s="3">
        <v>45261</v>
      </c>
      <c r="B88" s="4">
        <v>34185.231899999999</v>
      </c>
      <c r="C88" s="4">
        <v>14627.733399999999</v>
      </c>
      <c r="D88" s="4">
        <v>136.78569999999999</v>
      </c>
      <c r="E88" s="4">
        <v>14490.947700000001</v>
      </c>
      <c r="F88" s="5">
        <v>19450.920999999998</v>
      </c>
      <c r="G88" s="4">
        <v>15799.9774</v>
      </c>
      <c r="H88" s="4">
        <v>3650.9436000000001</v>
      </c>
      <c r="I88" s="4">
        <v>0</v>
      </c>
      <c r="J88" s="4">
        <v>0</v>
      </c>
      <c r="K88" s="4">
        <v>0</v>
      </c>
      <c r="L88" s="4">
        <v>0</v>
      </c>
      <c r="M88" s="4">
        <v>106.5775</v>
      </c>
      <c r="N88" s="4">
        <v>0</v>
      </c>
      <c r="O88" s="4">
        <v>34185.231899999999</v>
      </c>
      <c r="P88" s="4">
        <v>33941.868699999999</v>
      </c>
      <c r="Q88" s="4">
        <v>33941.868699999999</v>
      </c>
      <c r="R88" s="4">
        <v>243.36320000000001</v>
      </c>
    </row>
    <row r="89" spans="1:18" x14ac:dyDescent="0.2">
      <c r="A89" s="3">
        <v>45352</v>
      </c>
      <c r="B89" s="4">
        <v>38320.056700000001</v>
      </c>
      <c r="C89" s="4">
        <v>15734.9494</v>
      </c>
      <c r="D89" s="4">
        <v>151.6866</v>
      </c>
      <c r="E89" s="4">
        <v>15583.2628</v>
      </c>
      <c r="F89" s="5">
        <v>22433.4208</v>
      </c>
      <c r="G89" s="4">
        <v>16340.428</v>
      </c>
      <c r="H89" s="4">
        <v>6092.9926999999998</v>
      </c>
      <c r="I89" s="4">
        <v>0</v>
      </c>
      <c r="J89" s="4">
        <v>0</v>
      </c>
      <c r="K89" s="4">
        <v>0</v>
      </c>
      <c r="L89" s="4">
        <v>0</v>
      </c>
      <c r="M89" s="4">
        <v>151.6866</v>
      </c>
      <c r="N89" s="4">
        <v>0</v>
      </c>
      <c r="O89" s="4">
        <v>38320.056700000001</v>
      </c>
      <c r="P89" s="4">
        <v>38016.683599999997</v>
      </c>
      <c r="Q89" s="4">
        <v>38016.683599999997</v>
      </c>
      <c r="R89" s="4">
        <v>303.37310000000002</v>
      </c>
    </row>
    <row r="90" spans="1:18" x14ac:dyDescent="0.2">
      <c r="A90" s="3">
        <v>45444</v>
      </c>
      <c r="B90" s="4">
        <v>41423.963300000003</v>
      </c>
      <c r="C90" s="4">
        <v>19180.839100000001</v>
      </c>
      <c r="D90" s="4">
        <v>163.97309999999999</v>
      </c>
      <c r="E90" s="4">
        <v>19016.866000000002</v>
      </c>
      <c r="F90" s="5">
        <v>22079.151000000002</v>
      </c>
      <c r="G90" s="4">
        <v>14022.5807</v>
      </c>
      <c r="H90" s="4">
        <v>8056.5703000000003</v>
      </c>
      <c r="I90" s="4">
        <v>0</v>
      </c>
      <c r="J90" s="4">
        <v>0</v>
      </c>
      <c r="K90" s="4">
        <v>0</v>
      </c>
      <c r="L90" s="4">
        <v>0</v>
      </c>
      <c r="M90" s="4">
        <v>163.97309999999999</v>
      </c>
      <c r="N90" s="4">
        <v>0</v>
      </c>
      <c r="O90" s="4">
        <v>41423.963300000003</v>
      </c>
      <c r="P90" s="4">
        <v>41096.017</v>
      </c>
      <c r="Q90" s="4">
        <v>41096.017</v>
      </c>
      <c r="R90" s="4">
        <v>327.94619999999998</v>
      </c>
    </row>
    <row r="91" spans="1:18" x14ac:dyDescent="0.2">
      <c r="A91" s="3">
        <v>45536</v>
      </c>
      <c r="B91" s="4">
        <v>42515.447399999997</v>
      </c>
      <c r="C91" s="4">
        <v>21428.462200000002</v>
      </c>
      <c r="D91" s="4">
        <v>168.2937</v>
      </c>
      <c r="E91" s="4">
        <v>21260.168600000001</v>
      </c>
      <c r="F91" s="5">
        <v>20918.691500000001</v>
      </c>
      <c r="G91" s="4">
        <v>11799.783600000001</v>
      </c>
      <c r="H91" s="4">
        <v>9118.9079999999994</v>
      </c>
      <c r="I91" s="4">
        <v>0</v>
      </c>
      <c r="J91" s="4">
        <v>0</v>
      </c>
      <c r="K91" s="4">
        <v>0</v>
      </c>
      <c r="L91" s="4">
        <v>0</v>
      </c>
      <c r="M91" s="4">
        <v>168.2937</v>
      </c>
      <c r="N91" s="4">
        <v>0</v>
      </c>
      <c r="O91" s="4">
        <v>42515.447399999997</v>
      </c>
      <c r="P91" s="4">
        <v>42178.860099999998</v>
      </c>
      <c r="Q91" s="4">
        <v>42178.860099999998</v>
      </c>
      <c r="R91" s="4">
        <v>336.58730000000003</v>
      </c>
    </row>
    <row r="92" spans="1:18" x14ac:dyDescent="0.2">
      <c r="A92" s="3">
        <v>45627</v>
      </c>
      <c r="B92" s="4">
        <v>42886.513200000001</v>
      </c>
      <c r="C92" s="4">
        <v>22543.265899999999</v>
      </c>
      <c r="D92" s="4">
        <v>169.76249999999999</v>
      </c>
      <c r="E92" s="4">
        <v>22373.503400000001</v>
      </c>
      <c r="F92" s="5">
        <v>20173.484899999999</v>
      </c>
      <c r="G92" s="4">
        <v>11677.118</v>
      </c>
      <c r="H92" s="4">
        <v>8496.3669000000009</v>
      </c>
      <c r="I92" s="4">
        <v>0</v>
      </c>
      <c r="J92" s="4">
        <v>0</v>
      </c>
      <c r="K92" s="4">
        <v>0</v>
      </c>
      <c r="L92" s="4">
        <v>0</v>
      </c>
      <c r="M92" s="4">
        <v>169.76249999999999</v>
      </c>
      <c r="N92" s="4">
        <v>0</v>
      </c>
      <c r="O92" s="4">
        <v>42886.513200000001</v>
      </c>
      <c r="P92" s="4">
        <v>42546.988299999997</v>
      </c>
      <c r="Q92" s="4">
        <v>42546.988299999997</v>
      </c>
      <c r="R92" s="4">
        <v>339.52499999999998</v>
      </c>
    </row>
    <row r="93" spans="1:18" x14ac:dyDescent="0.2">
      <c r="A93" s="3">
        <v>45717</v>
      </c>
      <c r="B93" s="4">
        <v>43128.635399999999</v>
      </c>
      <c r="C93" s="4">
        <v>22111.0625</v>
      </c>
      <c r="D93" s="4">
        <v>170.7209</v>
      </c>
      <c r="E93" s="4">
        <v>21940.3416</v>
      </c>
      <c r="F93" s="5">
        <v>20846.851999999999</v>
      </c>
      <c r="G93" s="4">
        <v>10597.4668</v>
      </c>
      <c r="H93" s="4">
        <v>10249.385200000001</v>
      </c>
      <c r="I93" s="4">
        <v>0</v>
      </c>
      <c r="J93" s="4">
        <v>0</v>
      </c>
      <c r="K93" s="4">
        <v>0</v>
      </c>
      <c r="L93" s="4">
        <v>-2.2737367544323201E-16</v>
      </c>
      <c r="M93" s="4">
        <v>170.7209</v>
      </c>
      <c r="N93" s="4">
        <v>0</v>
      </c>
      <c r="O93" s="4">
        <v>43128.635399999999</v>
      </c>
      <c r="P93" s="4">
        <v>42787.193599999999</v>
      </c>
      <c r="Q93" s="4">
        <v>42787.193599999999</v>
      </c>
      <c r="R93" s="4">
        <v>341.4418</v>
      </c>
    </row>
    <row r="94" spans="1:18" x14ac:dyDescent="0.2">
      <c r="A94" s="3">
        <v>45809</v>
      </c>
      <c r="B94" s="4">
        <v>45758.380799999999</v>
      </c>
      <c r="C94" s="4">
        <v>23952.132799999999</v>
      </c>
      <c r="D94" s="4">
        <v>181.13050000000001</v>
      </c>
      <c r="E94" s="4">
        <v>23771.0023</v>
      </c>
      <c r="F94" s="5">
        <v>21625.117399999999</v>
      </c>
      <c r="G94" s="4">
        <v>11663.6158</v>
      </c>
      <c r="H94" s="4">
        <v>9961.5015999999996</v>
      </c>
      <c r="I94" s="4">
        <v>0</v>
      </c>
      <c r="J94" s="4">
        <v>0</v>
      </c>
      <c r="K94" s="4">
        <v>0</v>
      </c>
      <c r="L94" s="4">
        <v>-2.2737367544323201E-16</v>
      </c>
      <c r="M94" s="4">
        <v>181.13050000000001</v>
      </c>
      <c r="N94" s="4">
        <v>0</v>
      </c>
      <c r="O94" s="4">
        <v>45758.380799999999</v>
      </c>
      <c r="P94" s="4">
        <v>45396.119700000003</v>
      </c>
      <c r="Q94" s="4">
        <v>45396.119700000003</v>
      </c>
      <c r="R94" s="4">
        <v>362.26100000000002</v>
      </c>
    </row>
    <row r="95" spans="1:18" x14ac:dyDescent="0.2">
      <c r="A95" s="3">
        <v>45901</v>
      </c>
      <c r="B95" s="4">
        <v>42923.799400000004</v>
      </c>
      <c r="C95" s="4">
        <v>20154.382099999999</v>
      </c>
      <c r="D95" s="4">
        <v>169.9101</v>
      </c>
      <c r="E95" s="4">
        <v>19984.472099999999</v>
      </c>
      <c r="F95" s="5">
        <v>22599.5072</v>
      </c>
      <c r="G95" s="4">
        <v>13437.2318</v>
      </c>
      <c r="H95" s="4">
        <v>9162.2754999999997</v>
      </c>
      <c r="I95" s="4">
        <v>0</v>
      </c>
      <c r="J95" s="4">
        <v>0</v>
      </c>
      <c r="K95" s="4">
        <v>0</v>
      </c>
      <c r="L95" s="4">
        <v>-2.2737367544323201E-16</v>
      </c>
      <c r="M95" s="4">
        <v>169.9101</v>
      </c>
      <c r="N95" s="4">
        <v>0</v>
      </c>
      <c r="O95" s="4">
        <v>42923.799400000004</v>
      </c>
      <c r="P95" s="4">
        <v>42583.979299999999</v>
      </c>
      <c r="Q95" s="4">
        <v>42583.979299999999</v>
      </c>
      <c r="R95" s="4">
        <v>339.8202</v>
      </c>
    </row>
  </sheetData>
  <mergeCells count="2">
    <mergeCell ref="A1:R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CE2E-6AE7-5147-8302-832FF1037573}">
  <sheetPr>
    <tabColor rgb="FFC00000"/>
  </sheetPr>
  <dimension ref="A1:AA95"/>
  <sheetViews>
    <sheetView workbookViewId="0">
      <selection activeCell="G3" sqref="G3"/>
    </sheetView>
  </sheetViews>
  <sheetFormatPr baseColWidth="10" defaultRowHeight="16" x14ac:dyDescent="0.2"/>
  <sheetData>
    <row r="1" spans="1:27" x14ac:dyDescent="0.2">
      <c r="A1" s="7" t="s">
        <v>69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</row>
    <row r="2" spans="1:27" x14ac:dyDescent="0.2">
      <c r="A2" s="8" t="s">
        <v>161</v>
      </c>
      <c r="B2" s="8"/>
      <c r="C2" t="s">
        <v>162</v>
      </c>
      <c r="D2" s="1">
        <f>B5-I5-N5-Q5</f>
        <v>1999.1</v>
      </c>
      <c r="E2" s="1">
        <f>C5+F5+J5+O5+P5</f>
        <v>1999.0998999999999</v>
      </c>
      <c r="F2" t="s">
        <v>163</v>
      </c>
      <c r="G2" s="1">
        <f>S5-AA5</f>
        <v>2776.8865999999998</v>
      </c>
      <c r="H2" s="1">
        <f>T5+V5+Z5</f>
        <v>2776.8865999999998</v>
      </c>
    </row>
    <row r="3" spans="1:27" ht="136" x14ac:dyDescent="0.2">
      <c r="A3" s="2" t="s">
        <v>2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37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38</v>
      </c>
      <c r="R3" s="2" t="s">
        <v>21</v>
      </c>
      <c r="S3" s="2" t="s">
        <v>22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</row>
    <row r="4" spans="1:27" x14ac:dyDescent="0.2">
      <c r="A4" s="3">
        <v>37591</v>
      </c>
      <c r="B4" s="4">
        <v>2569.6152999999999</v>
      </c>
      <c r="C4" s="4">
        <v>934.87090000000001</v>
      </c>
      <c r="D4" s="4">
        <v>31.1585</v>
      </c>
      <c r="E4" s="4">
        <v>903.7124</v>
      </c>
      <c r="F4" s="5">
        <v>939.68150000000003</v>
      </c>
      <c r="G4" s="4">
        <v>164.16409999999999</v>
      </c>
      <c r="H4" s="4">
        <v>775.51739999999995</v>
      </c>
      <c r="I4" s="4">
        <v>0</v>
      </c>
      <c r="J4" s="5">
        <v>39.037599999999998</v>
      </c>
      <c r="K4" s="4">
        <v>0</v>
      </c>
      <c r="L4" s="4">
        <v>39.037599999999998</v>
      </c>
      <c r="M4" s="4">
        <v>552.94039999999995</v>
      </c>
      <c r="N4" s="4">
        <v>509.12729999999999</v>
      </c>
      <c r="O4" s="4">
        <v>1.1972</v>
      </c>
      <c r="P4" s="4">
        <v>42.615900000000003</v>
      </c>
      <c r="Q4" s="4">
        <v>103.0849</v>
      </c>
      <c r="R4" s="4">
        <v>-222.93260000000001</v>
      </c>
      <c r="S4" s="4">
        <v>2792.5479</v>
      </c>
      <c r="T4" s="4">
        <v>0</v>
      </c>
      <c r="U4" s="4">
        <v>0</v>
      </c>
      <c r="V4" s="4">
        <v>41.5625</v>
      </c>
      <c r="W4" s="4">
        <v>33.055999999999997</v>
      </c>
      <c r="X4" s="4">
        <v>8.5065000000000008</v>
      </c>
      <c r="Y4" s="4">
        <v>2696.8984</v>
      </c>
      <c r="Z4" s="4">
        <v>2696.8984</v>
      </c>
      <c r="AA4" s="4">
        <v>54.087000000000003</v>
      </c>
    </row>
    <row r="5" spans="1:27" x14ac:dyDescent="0.2">
      <c r="A5" s="3">
        <v>37681</v>
      </c>
      <c r="B5" s="4">
        <v>2612.3966999999998</v>
      </c>
      <c r="C5" s="4">
        <v>927.28089999999997</v>
      </c>
      <c r="D5" s="4">
        <v>35.842799999999997</v>
      </c>
      <c r="E5" s="4">
        <v>891.43809999999996</v>
      </c>
      <c r="F5" s="5">
        <v>993.93380000000002</v>
      </c>
      <c r="G5" s="4">
        <v>170.42789999999999</v>
      </c>
      <c r="H5" s="4">
        <v>823.5059</v>
      </c>
      <c r="I5" s="4">
        <v>0</v>
      </c>
      <c r="J5" s="5">
        <v>34.108800000000002</v>
      </c>
      <c r="K5" s="4">
        <v>0</v>
      </c>
      <c r="L5" s="4">
        <v>34.108800000000002</v>
      </c>
      <c r="M5" s="4">
        <v>549.50670000000002</v>
      </c>
      <c r="N5" s="4">
        <v>505.73020000000002</v>
      </c>
      <c r="O5" s="4">
        <v>1.2519</v>
      </c>
      <c r="P5" s="4">
        <v>42.524500000000003</v>
      </c>
      <c r="Q5" s="4">
        <v>107.5665</v>
      </c>
      <c r="R5" s="4">
        <v>-224.0384</v>
      </c>
      <c r="S5" s="4">
        <v>2836.4349999999999</v>
      </c>
      <c r="T5" s="4">
        <v>0</v>
      </c>
      <c r="U5" s="4">
        <v>0</v>
      </c>
      <c r="V5" s="4">
        <v>47.900399999999998</v>
      </c>
      <c r="W5" s="4">
        <v>38.096699999999998</v>
      </c>
      <c r="X5" s="4">
        <v>9.8036999999999992</v>
      </c>
      <c r="Y5" s="4">
        <v>2728.9861999999998</v>
      </c>
      <c r="Z5" s="4">
        <v>2728.9861999999998</v>
      </c>
      <c r="AA5" s="4">
        <v>59.548400000000001</v>
      </c>
    </row>
    <row r="6" spans="1:27" x14ac:dyDescent="0.2">
      <c r="A6" s="3">
        <v>37773</v>
      </c>
      <c r="B6" s="4">
        <v>2738.3779</v>
      </c>
      <c r="C6" s="4">
        <v>777.31889999999999</v>
      </c>
      <c r="D6" s="4">
        <v>20.917400000000001</v>
      </c>
      <c r="E6" s="4">
        <v>756.40160000000003</v>
      </c>
      <c r="F6" s="5">
        <v>1181.6478999999999</v>
      </c>
      <c r="G6" s="4">
        <v>164.7072</v>
      </c>
      <c r="H6" s="4">
        <v>1016.9407</v>
      </c>
      <c r="I6" s="4">
        <v>0</v>
      </c>
      <c r="J6" s="5">
        <v>34.630600000000001</v>
      </c>
      <c r="K6" s="4">
        <v>0</v>
      </c>
      <c r="L6" s="4">
        <v>34.630600000000001</v>
      </c>
      <c r="M6" s="4">
        <v>645.42579999999998</v>
      </c>
      <c r="N6" s="4">
        <v>597.93669999999997</v>
      </c>
      <c r="O6" s="4">
        <v>1.1478999999999999</v>
      </c>
      <c r="P6" s="4">
        <v>46.341099999999997</v>
      </c>
      <c r="Q6" s="4">
        <v>99.354799999999997</v>
      </c>
      <c r="R6" s="4">
        <v>-229.4059</v>
      </c>
      <c r="S6" s="4">
        <v>2967.7838000000002</v>
      </c>
      <c r="T6" s="4">
        <v>0</v>
      </c>
      <c r="U6" s="4">
        <v>0</v>
      </c>
      <c r="V6" s="4">
        <v>42.834600000000002</v>
      </c>
      <c r="W6" s="4">
        <v>34.067700000000002</v>
      </c>
      <c r="X6" s="4">
        <v>8.7668999999999997</v>
      </c>
      <c r="Y6" s="4">
        <v>2868.84</v>
      </c>
      <c r="Z6" s="4">
        <v>2868.84</v>
      </c>
      <c r="AA6" s="4">
        <v>56.109299999999998</v>
      </c>
    </row>
    <row r="7" spans="1:27" x14ac:dyDescent="0.2">
      <c r="A7" s="3">
        <v>37865</v>
      </c>
      <c r="B7" s="4">
        <v>3175.8928999999998</v>
      </c>
      <c r="C7" s="4">
        <v>892.46</v>
      </c>
      <c r="D7" s="4">
        <v>23.0243</v>
      </c>
      <c r="E7" s="4">
        <v>869.4357</v>
      </c>
      <c r="F7" s="5">
        <v>1366.5808</v>
      </c>
      <c r="G7" s="4">
        <v>148.70570000000001</v>
      </c>
      <c r="H7" s="4">
        <v>1217.8751</v>
      </c>
      <c r="I7" s="4">
        <v>0</v>
      </c>
      <c r="J7" s="5">
        <v>32.378399999999999</v>
      </c>
      <c r="K7" s="4">
        <v>0</v>
      </c>
      <c r="L7" s="4">
        <v>32.378399999999999</v>
      </c>
      <c r="M7" s="4">
        <v>772.54150000000004</v>
      </c>
      <c r="N7" s="4">
        <v>718.8374</v>
      </c>
      <c r="O7" s="4">
        <v>1.29</v>
      </c>
      <c r="P7" s="4">
        <v>52.414099999999998</v>
      </c>
      <c r="Q7" s="4">
        <v>111.93219999999999</v>
      </c>
      <c r="R7" s="4">
        <v>-233.44139999999999</v>
      </c>
      <c r="S7" s="4">
        <v>3409.3343</v>
      </c>
      <c r="T7" s="4">
        <v>0</v>
      </c>
      <c r="U7" s="4">
        <v>0</v>
      </c>
      <c r="V7" s="4">
        <v>47.605899999999998</v>
      </c>
      <c r="W7" s="4">
        <v>37.862499999999997</v>
      </c>
      <c r="X7" s="4">
        <v>9.7433999999999994</v>
      </c>
      <c r="Y7" s="4">
        <v>3298.2179999999998</v>
      </c>
      <c r="Z7" s="4">
        <v>3298.2179999999998</v>
      </c>
      <c r="AA7" s="4">
        <v>63.510399999999997</v>
      </c>
    </row>
    <row r="8" spans="1:27" x14ac:dyDescent="0.2">
      <c r="A8" s="3">
        <v>37956</v>
      </c>
      <c r="B8" s="4">
        <v>3242.7802999999999</v>
      </c>
      <c r="C8" s="4">
        <v>743.03089999999997</v>
      </c>
      <c r="D8" s="4">
        <v>18.4175</v>
      </c>
      <c r="E8" s="4">
        <v>724.61339999999996</v>
      </c>
      <c r="F8" s="5">
        <v>1440.7247</v>
      </c>
      <c r="G8" s="4">
        <v>229.68770000000001</v>
      </c>
      <c r="H8" s="4">
        <v>1211.037</v>
      </c>
      <c r="I8" s="4">
        <v>1.0728</v>
      </c>
      <c r="J8" s="5">
        <v>27.308700000000002</v>
      </c>
      <c r="K8" s="4">
        <v>0</v>
      </c>
      <c r="L8" s="4">
        <v>27.308700000000002</v>
      </c>
      <c r="M8" s="4">
        <v>887.38030000000003</v>
      </c>
      <c r="N8" s="4">
        <v>821.25689999999997</v>
      </c>
      <c r="O8" s="4">
        <v>1.6875</v>
      </c>
      <c r="P8" s="4">
        <v>64.435900000000004</v>
      </c>
      <c r="Q8" s="4">
        <v>143.26300000000001</v>
      </c>
      <c r="R8" s="4">
        <v>-209.2433</v>
      </c>
      <c r="S8" s="4">
        <v>3452.0236</v>
      </c>
      <c r="T8" s="4">
        <v>0</v>
      </c>
      <c r="U8" s="4">
        <v>0</v>
      </c>
      <c r="V8" s="4">
        <v>49.723999999999997</v>
      </c>
      <c r="W8" s="4">
        <v>39.546999999999997</v>
      </c>
      <c r="X8" s="4">
        <v>10.1769</v>
      </c>
      <c r="Y8" s="4">
        <v>3336.8809999999999</v>
      </c>
      <c r="Z8" s="4">
        <v>3336.8809999999999</v>
      </c>
      <c r="AA8" s="4">
        <v>65.418599999999998</v>
      </c>
    </row>
    <row r="9" spans="1:27" x14ac:dyDescent="0.2">
      <c r="A9" s="3">
        <v>38047</v>
      </c>
      <c r="B9" s="4">
        <v>3885.8364000000001</v>
      </c>
      <c r="C9" s="4">
        <v>1036.47</v>
      </c>
      <c r="D9" s="4">
        <v>23.2288</v>
      </c>
      <c r="E9" s="4">
        <v>1013.2412</v>
      </c>
      <c r="F9" s="5">
        <v>1688.5225</v>
      </c>
      <c r="G9" s="4">
        <v>226.6688</v>
      </c>
      <c r="H9" s="4">
        <v>1461.8536999999999</v>
      </c>
      <c r="I9" s="4">
        <v>1.1153999999999999</v>
      </c>
      <c r="J9" s="5">
        <v>25.516300000000001</v>
      </c>
      <c r="K9" s="4">
        <v>0</v>
      </c>
      <c r="L9" s="4">
        <v>25.516300000000001</v>
      </c>
      <c r="M9" s="4">
        <v>937.45770000000005</v>
      </c>
      <c r="N9" s="4">
        <v>857.01610000000005</v>
      </c>
      <c r="O9" s="4">
        <v>2.3235999999999999</v>
      </c>
      <c r="P9" s="4">
        <v>78.117999999999995</v>
      </c>
      <c r="Q9" s="4">
        <v>196.75450000000001</v>
      </c>
      <c r="R9" s="4">
        <v>-208.54329999999999</v>
      </c>
      <c r="S9" s="4">
        <v>4094.3797</v>
      </c>
      <c r="T9" s="4">
        <v>0</v>
      </c>
      <c r="U9" s="4">
        <v>0</v>
      </c>
      <c r="V9" s="4">
        <v>52.473799999999997</v>
      </c>
      <c r="W9" s="4">
        <v>41.734099999999998</v>
      </c>
      <c r="X9" s="4">
        <v>10.739699999999999</v>
      </c>
      <c r="Y9" s="4">
        <v>3968.3524000000002</v>
      </c>
      <c r="Z9" s="4">
        <v>3968.3524000000002</v>
      </c>
      <c r="AA9" s="4">
        <v>73.5535</v>
      </c>
    </row>
    <row r="10" spans="1:27" x14ac:dyDescent="0.2">
      <c r="A10" s="3">
        <v>38139</v>
      </c>
      <c r="B10" s="4">
        <v>4467.2979999999998</v>
      </c>
      <c r="C10" s="4">
        <v>1285.9344000000001</v>
      </c>
      <c r="D10" s="4">
        <v>36.467700000000001</v>
      </c>
      <c r="E10" s="4">
        <v>1249.4666999999999</v>
      </c>
      <c r="F10" s="5">
        <v>2012.7892999999999</v>
      </c>
      <c r="G10" s="4">
        <v>241.5514</v>
      </c>
      <c r="H10" s="4">
        <v>1771.2379000000001</v>
      </c>
      <c r="I10" s="4">
        <v>1.1393</v>
      </c>
      <c r="J10" s="5">
        <v>20.712700000000002</v>
      </c>
      <c r="K10" s="4">
        <v>0</v>
      </c>
      <c r="L10" s="4">
        <v>20.712700000000002</v>
      </c>
      <c r="M10" s="4">
        <v>952.66669999999999</v>
      </c>
      <c r="N10" s="4">
        <v>870.82320000000004</v>
      </c>
      <c r="O10" s="4">
        <v>2.2698999999999998</v>
      </c>
      <c r="P10" s="4">
        <v>79.573599999999999</v>
      </c>
      <c r="Q10" s="4">
        <v>194.0556</v>
      </c>
      <c r="R10" s="4">
        <v>-216.2192</v>
      </c>
      <c r="S10" s="4">
        <v>4683.5172000000002</v>
      </c>
      <c r="T10" s="4">
        <v>0</v>
      </c>
      <c r="U10" s="4">
        <v>0</v>
      </c>
      <c r="V10" s="4">
        <v>52.8157</v>
      </c>
      <c r="W10" s="4">
        <v>42.006</v>
      </c>
      <c r="X10" s="4">
        <v>10.809699999999999</v>
      </c>
      <c r="Y10" s="4">
        <v>4551.1998999999996</v>
      </c>
      <c r="Z10" s="4">
        <v>4551.1998999999996</v>
      </c>
      <c r="AA10" s="4">
        <v>79.501599999999996</v>
      </c>
    </row>
    <row r="11" spans="1:27" x14ac:dyDescent="0.2">
      <c r="A11" s="3">
        <v>38231</v>
      </c>
      <c r="B11" s="4">
        <v>5192.5618999999997</v>
      </c>
      <c r="C11" s="4">
        <v>1493.7149999999999</v>
      </c>
      <c r="D11" s="4">
        <v>33.190899999999999</v>
      </c>
      <c r="E11" s="4">
        <v>1460.5242000000001</v>
      </c>
      <c r="F11" s="5">
        <v>2357.0758999999998</v>
      </c>
      <c r="G11" s="4">
        <v>255.53659999999999</v>
      </c>
      <c r="H11" s="4">
        <v>2101.5392999999999</v>
      </c>
      <c r="I11" s="4">
        <v>1.2092000000000001</v>
      </c>
      <c r="J11" s="5">
        <v>18.889700000000001</v>
      </c>
      <c r="K11" s="4">
        <v>0</v>
      </c>
      <c r="L11" s="4">
        <v>18.889700000000001</v>
      </c>
      <c r="M11" s="4">
        <v>1116.2025000000001</v>
      </c>
      <c r="N11" s="4">
        <v>1029.3842</v>
      </c>
      <c r="O11" s="4">
        <v>2.3887999999999998</v>
      </c>
      <c r="P11" s="4">
        <v>84.429500000000004</v>
      </c>
      <c r="Q11" s="4">
        <v>205.46960000000001</v>
      </c>
      <c r="R11" s="4">
        <v>-221.97479999999999</v>
      </c>
      <c r="S11" s="4">
        <v>5414.5366999999997</v>
      </c>
      <c r="T11" s="4">
        <v>0</v>
      </c>
      <c r="U11" s="4">
        <v>0</v>
      </c>
      <c r="V11" s="4">
        <v>60.354700000000001</v>
      </c>
      <c r="W11" s="4">
        <v>48.002000000000002</v>
      </c>
      <c r="X11" s="4">
        <v>12.3527</v>
      </c>
      <c r="Y11" s="4">
        <v>5262.2750999999998</v>
      </c>
      <c r="Z11" s="4">
        <v>5262.2750999999998</v>
      </c>
      <c r="AA11" s="4">
        <v>91.906899999999993</v>
      </c>
    </row>
    <row r="12" spans="1:27" x14ac:dyDescent="0.2">
      <c r="A12" s="3">
        <v>38322</v>
      </c>
      <c r="B12" s="4">
        <v>4644.1967999999997</v>
      </c>
      <c r="C12" s="4">
        <v>1053.499</v>
      </c>
      <c r="D12" s="4">
        <v>31.7425</v>
      </c>
      <c r="E12" s="4">
        <v>1021.7564</v>
      </c>
      <c r="F12" s="5">
        <v>2044.64</v>
      </c>
      <c r="G12" s="4">
        <v>192.3741</v>
      </c>
      <c r="H12" s="4">
        <v>1852.2659000000001</v>
      </c>
      <c r="I12" s="4">
        <v>3.3471000000000002</v>
      </c>
      <c r="J12" s="5">
        <v>15.9247</v>
      </c>
      <c r="K12" s="4">
        <v>0</v>
      </c>
      <c r="L12" s="4">
        <v>15.9247</v>
      </c>
      <c r="M12" s="4">
        <v>1316.2720999999999</v>
      </c>
      <c r="N12" s="4">
        <v>1201.6887999999999</v>
      </c>
      <c r="O12" s="4">
        <v>2.4986999999999999</v>
      </c>
      <c r="P12" s="4">
        <v>112.08459999999999</v>
      </c>
      <c r="Q12" s="4">
        <v>210.51400000000001</v>
      </c>
      <c r="R12" s="4">
        <v>-222.27289999999999</v>
      </c>
      <c r="S12" s="4">
        <v>4866.4697999999999</v>
      </c>
      <c r="T12" s="4">
        <v>0</v>
      </c>
      <c r="U12" s="4">
        <v>0</v>
      </c>
      <c r="V12" s="4">
        <v>57.879899999999999</v>
      </c>
      <c r="W12" s="4">
        <v>46.033700000000003</v>
      </c>
      <c r="X12" s="4">
        <v>11.8462</v>
      </c>
      <c r="Y12" s="4">
        <v>4724.6778000000004</v>
      </c>
      <c r="Z12" s="4">
        <v>4724.6778000000004</v>
      </c>
      <c r="AA12" s="4">
        <v>83.912099999999995</v>
      </c>
    </row>
    <row r="13" spans="1:27" x14ac:dyDescent="0.2">
      <c r="A13" s="3">
        <v>38412</v>
      </c>
      <c r="B13" s="4">
        <v>4717.3144000000002</v>
      </c>
      <c r="C13" s="4">
        <v>1024.6679999999999</v>
      </c>
      <c r="D13" s="4">
        <v>31.8109</v>
      </c>
      <c r="E13" s="4">
        <v>992.85720000000003</v>
      </c>
      <c r="F13" s="5">
        <v>1902.4322999999999</v>
      </c>
      <c r="G13" s="4">
        <v>218.98349999999999</v>
      </c>
      <c r="H13" s="4">
        <v>1683.4489000000001</v>
      </c>
      <c r="I13" s="4">
        <v>5.6745000000000001</v>
      </c>
      <c r="J13" s="5">
        <v>13.8996</v>
      </c>
      <c r="K13" s="4">
        <v>0</v>
      </c>
      <c r="L13" s="4">
        <v>13.8996</v>
      </c>
      <c r="M13" s="4">
        <v>1550.0504000000001</v>
      </c>
      <c r="N13" s="4">
        <v>1407.9648999999999</v>
      </c>
      <c r="O13" s="4">
        <v>2.6494</v>
      </c>
      <c r="P13" s="4">
        <v>139.43610000000001</v>
      </c>
      <c r="Q13" s="4">
        <v>220.58949999999999</v>
      </c>
      <c r="R13" s="4">
        <v>-223.1884</v>
      </c>
      <c r="S13" s="4">
        <v>4940.5028000000002</v>
      </c>
      <c r="T13" s="4">
        <v>0</v>
      </c>
      <c r="U13" s="4">
        <v>0</v>
      </c>
      <c r="V13" s="4">
        <v>59.177599999999998</v>
      </c>
      <c r="W13" s="4">
        <v>47.065800000000003</v>
      </c>
      <c r="X13" s="4">
        <v>12.111800000000001</v>
      </c>
      <c r="Y13" s="4">
        <v>4795.8714</v>
      </c>
      <c r="Z13" s="4">
        <v>4795.8714</v>
      </c>
      <c r="AA13" s="4">
        <v>85.453800000000001</v>
      </c>
    </row>
    <row r="14" spans="1:27" x14ac:dyDescent="0.2">
      <c r="A14" s="3">
        <v>38504</v>
      </c>
      <c r="B14" s="4">
        <v>5454.9155000000001</v>
      </c>
      <c r="C14" s="4">
        <v>1298.0398</v>
      </c>
      <c r="D14" s="4">
        <v>39.2988</v>
      </c>
      <c r="E14" s="4">
        <v>1258.741</v>
      </c>
      <c r="F14" s="5">
        <v>2186.2671999999998</v>
      </c>
      <c r="G14" s="4">
        <v>248.60579999999999</v>
      </c>
      <c r="H14" s="4">
        <v>1937.6614</v>
      </c>
      <c r="I14" s="4">
        <v>7.7556000000000003</v>
      </c>
      <c r="J14" s="5">
        <v>22.7182</v>
      </c>
      <c r="K14" s="4">
        <v>9.3527000000000005</v>
      </c>
      <c r="L14" s="4">
        <v>13.365500000000001</v>
      </c>
      <c r="M14" s="4">
        <v>1709.4579000000001</v>
      </c>
      <c r="N14" s="4">
        <v>1560.9327000000001</v>
      </c>
      <c r="O14" s="4">
        <v>2.7723</v>
      </c>
      <c r="P14" s="4">
        <v>145.75290000000001</v>
      </c>
      <c r="Q14" s="4">
        <v>230.67670000000001</v>
      </c>
      <c r="R14" s="4">
        <v>-226.12200000000001</v>
      </c>
      <c r="S14" s="4">
        <v>5681.0375000000004</v>
      </c>
      <c r="T14" s="4">
        <v>0</v>
      </c>
      <c r="U14" s="4">
        <v>0</v>
      </c>
      <c r="V14" s="4">
        <v>66.974000000000004</v>
      </c>
      <c r="W14" s="4">
        <v>53.266500000000001</v>
      </c>
      <c r="X14" s="4">
        <v>13.7075</v>
      </c>
      <c r="Y14" s="4">
        <v>5514.7633999999998</v>
      </c>
      <c r="Z14" s="4">
        <v>5514.7633999999998</v>
      </c>
      <c r="AA14" s="4">
        <v>99.3001</v>
      </c>
    </row>
    <row r="15" spans="1:27" x14ac:dyDescent="0.2">
      <c r="A15" s="3">
        <v>38596</v>
      </c>
      <c r="B15" s="4">
        <v>6320.1238999999996</v>
      </c>
      <c r="C15" s="4">
        <v>1585.5088000000001</v>
      </c>
      <c r="D15" s="4">
        <v>46.746200000000002</v>
      </c>
      <c r="E15" s="4">
        <v>1538.7626</v>
      </c>
      <c r="F15" s="5">
        <v>2386.6552999999999</v>
      </c>
      <c r="G15" s="4">
        <v>244.09540000000001</v>
      </c>
      <c r="H15" s="4">
        <v>2142.5599000000002</v>
      </c>
      <c r="I15" s="4">
        <v>9.1545000000000005</v>
      </c>
      <c r="J15" s="5">
        <v>18.1479</v>
      </c>
      <c r="K15" s="4">
        <v>6.8083999999999998</v>
      </c>
      <c r="L15" s="4">
        <v>11.339499999999999</v>
      </c>
      <c r="M15" s="4">
        <v>2071.5401000000002</v>
      </c>
      <c r="N15" s="4">
        <v>1889.6371999999999</v>
      </c>
      <c r="O15" s="4">
        <v>2.7898999999999998</v>
      </c>
      <c r="P15" s="4">
        <v>179.1129</v>
      </c>
      <c r="Q15" s="4">
        <v>249.1173</v>
      </c>
      <c r="R15" s="4">
        <v>-228.98269999999999</v>
      </c>
      <c r="S15" s="4">
        <v>6549.1066000000001</v>
      </c>
      <c r="T15" s="4">
        <v>0</v>
      </c>
      <c r="U15" s="4">
        <v>0</v>
      </c>
      <c r="V15" s="4">
        <v>62.853000000000002</v>
      </c>
      <c r="W15" s="4">
        <v>49.1434</v>
      </c>
      <c r="X15" s="4">
        <v>13.7097</v>
      </c>
      <c r="Y15" s="4">
        <v>6359.5077000000001</v>
      </c>
      <c r="Z15" s="4">
        <v>6359.5077000000001</v>
      </c>
      <c r="AA15" s="4">
        <v>126.7458</v>
      </c>
    </row>
    <row r="16" spans="1:27" x14ac:dyDescent="0.2">
      <c r="A16" s="3">
        <v>38687</v>
      </c>
      <c r="B16" s="4">
        <v>4564.5052999999998</v>
      </c>
      <c r="C16" s="4">
        <v>938.6807</v>
      </c>
      <c r="D16" s="4">
        <v>33.726999999999997</v>
      </c>
      <c r="E16" s="4">
        <v>904.95370000000003</v>
      </c>
      <c r="F16" s="5">
        <v>1522.8438000000001</v>
      </c>
      <c r="G16" s="4">
        <v>241.4759</v>
      </c>
      <c r="H16" s="4">
        <v>1281.3679</v>
      </c>
      <c r="I16" s="4">
        <v>10.975</v>
      </c>
      <c r="J16" s="5">
        <v>13.745900000000001</v>
      </c>
      <c r="K16" s="4">
        <v>4.4063999999999997</v>
      </c>
      <c r="L16" s="4">
        <v>9.3394999999999992</v>
      </c>
      <c r="M16" s="4">
        <v>1834.8266000000001</v>
      </c>
      <c r="N16" s="4">
        <v>1623.9779000000001</v>
      </c>
      <c r="O16" s="4">
        <v>2.8081999999999998</v>
      </c>
      <c r="P16" s="4">
        <v>208.04050000000001</v>
      </c>
      <c r="Q16" s="4">
        <v>243.4333</v>
      </c>
      <c r="R16" s="4">
        <v>-237.3579</v>
      </c>
      <c r="S16" s="4">
        <v>4801.8631999999998</v>
      </c>
      <c r="T16" s="4">
        <v>0</v>
      </c>
      <c r="U16" s="4">
        <v>0</v>
      </c>
      <c r="V16" s="4">
        <v>67.679000000000002</v>
      </c>
      <c r="W16" s="4">
        <v>50.987000000000002</v>
      </c>
      <c r="X16" s="4">
        <v>16.692</v>
      </c>
      <c r="Y16" s="4">
        <v>4629.9391999999998</v>
      </c>
      <c r="Z16" s="4">
        <v>4629.9391999999998</v>
      </c>
      <c r="AA16" s="4">
        <v>104.245</v>
      </c>
    </row>
    <row r="17" spans="1:27" x14ac:dyDescent="0.2">
      <c r="A17" s="3">
        <v>38777</v>
      </c>
      <c r="B17" s="4">
        <v>5266.3149000000003</v>
      </c>
      <c r="C17" s="4">
        <v>1110.0084999999999</v>
      </c>
      <c r="D17" s="4">
        <v>40.464700000000001</v>
      </c>
      <c r="E17" s="4">
        <v>1069.5437999999999</v>
      </c>
      <c r="F17" s="5">
        <v>1568.7295999999999</v>
      </c>
      <c r="G17" s="4">
        <v>272.24239999999998</v>
      </c>
      <c r="H17" s="4">
        <v>1296.4872</v>
      </c>
      <c r="I17" s="4">
        <v>8.6640999999999995</v>
      </c>
      <c r="J17" s="5">
        <v>10.079499999999999</v>
      </c>
      <c r="K17" s="4">
        <v>0.77590000000000003</v>
      </c>
      <c r="L17" s="4">
        <v>9.3035999999999994</v>
      </c>
      <c r="M17" s="4">
        <v>2188.8764000000001</v>
      </c>
      <c r="N17" s="4">
        <v>1844.2861</v>
      </c>
      <c r="O17" s="4">
        <v>4.4393000000000002</v>
      </c>
      <c r="P17" s="4">
        <v>340.15089999999998</v>
      </c>
      <c r="Q17" s="4">
        <v>379.95699999999999</v>
      </c>
      <c r="R17" s="4">
        <v>-195.26939999999999</v>
      </c>
      <c r="S17" s="4">
        <v>5461.5843999999997</v>
      </c>
      <c r="T17" s="4">
        <v>0</v>
      </c>
      <c r="U17" s="4">
        <v>0</v>
      </c>
      <c r="V17" s="4">
        <v>69.380399999999995</v>
      </c>
      <c r="W17" s="4">
        <v>57.5764</v>
      </c>
      <c r="X17" s="4">
        <v>11.804</v>
      </c>
      <c r="Y17" s="4">
        <v>5271.3523999999998</v>
      </c>
      <c r="Z17" s="4">
        <v>5271.3523999999998</v>
      </c>
      <c r="AA17" s="4">
        <v>120.8515</v>
      </c>
    </row>
    <row r="18" spans="1:27" x14ac:dyDescent="0.2">
      <c r="A18" s="3">
        <v>38869</v>
      </c>
      <c r="B18" s="4">
        <v>5261.2070999999996</v>
      </c>
      <c r="C18" s="4">
        <v>1154.1555000000001</v>
      </c>
      <c r="D18" s="4">
        <v>37.201599999999999</v>
      </c>
      <c r="E18" s="4">
        <v>1116.9539</v>
      </c>
      <c r="F18" s="5">
        <v>1520.8842999999999</v>
      </c>
      <c r="G18" s="4">
        <v>243.93549999999999</v>
      </c>
      <c r="H18" s="4">
        <v>1276.9486999999999</v>
      </c>
      <c r="I18" s="4">
        <v>6.7632000000000003</v>
      </c>
      <c r="J18" s="5">
        <v>8.3204999999999991</v>
      </c>
      <c r="K18" s="4">
        <v>0.27339999999999998</v>
      </c>
      <c r="L18" s="4">
        <v>8.0471000000000004</v>
      </c>
      <c r="M18" s="4">
        <v>2218.0859</v>
      </c>
      <c r="N18" s="4">
        <v>1839.3416999999999</v>
      </c>
      <c r="O18" s="4">
        <v>4.0640999999999998</v>
      </c>
      <c r="P18" s="4">
        <v>374.68009999999998</v>
      </c>
      <c r="Q18" s="4">
        <v>352.99770000000001</v>
      </c>
      <c r="R18" s="4">
        <v>-252.17179999999999</v>
      </c>
      <c r="S18" s="4">
        <v>5513.3789999999999</v>
      </c>
      <c r="T18" s="4">
        <v>0</v>
      </c>
      <c r="U18" s="4">
        <v>0</v>
      </c>
      <c r="V18" s="4">
        <v>75.927899999999994</v>
      </c>
      <c r="W18" s="4">
        <v>56.426099999999998</v>
      </c>
      <c r="X18" s="4">
        <v>19.501799999999999</v>
      </c>
      <c r="Y18" s="4">
        <v>5335.8905999999997</v>
      </c>
      <c r="Z18" s="4">
        <v>5335.8905999999997</v>
      </c>
      <c r="AA18" s="4">
        <v>101.5605</v>
      </c>
    </row>
    <row r="19" spans="1:27" x14ac:dyDescent="0.2">
      <c r="A19" s="3">
        <v>38961</v>
      </c>
      <c r="B19" s="4">
        <v>5961.6184999999996</v>
      </c>
      <c r="C19" s="4">
        <v>1429.3776</v>
      </c>
      <c r="D19" s="4">
        <v>60.800699999999999</v>
      </c>
      <c r="E19" s="4">
        <v>1368.5768</v>
      </c>
      <c r="F19" s="5">
        <v>1621.9335000000001</v>
      </c>
      <c r="G19" s="4">
        <v>219.44540000000001</v>
      </c>
      <c r="H19" s="4">
        <v>1402.4882</v>
      </c>
      <c r="I19" s="4">
        <v>7.5990000000000002</v>
      </c>
      <c r="J19" s="5">
        <v>9.5945999999999998</v>
      </c>
      <c r="K19" s="4">
        <v>1.8987000000000001</v>
      </c>
      <c r="L19" s="4">
        <v>7.6959</v>
      </c>
      <c r="M19" s="4">
        <v>2509.7755000000002</v>
      </c>
      <c r="N19" s="4">
        <v>2084.3472999999999</v>
      </c>
      <c r="O19" s="4">
        <v>4.4397000000000002</v>
      </c>
      <c r="P19" s="4">
        <v>420.98860000000002</v>
      </c>
      <c r="Q19" s="4">
        <v>383.33819999999997</v>
      </c>
      <c r="R19" s="4">
        <v>-142.6968</v>
      </c>
      <c r="S19" s="4">
        <v>6104.3152</v>
      </c>
      <c r="T19" s="4">
        <v>0</v>
      </c>
      <c r="U19" s="4">
        <v>0</v>
      </c>
      <c r="V19" s="4">
        <v>79.764200000000002</v>
      </c>
      <c r="W19" s="4">
        <v>59.872500000000002</v>
      </c>
      <c r="X19" s="4">
        <v>19.8917</v>
      </c>
      <c r="Y19" s="4">
        <v>5903.7311</v>
      </c>
      <c r="Z19" s="4">
        <v>5903.7311</v>
      </c>
      <c r="AA19" s="4">
        <v>120.8199</v>
      </c>
    </row>
    <row r="20" spans="1:27" x14ac:dyDescent="0.2">
      <c r="A20" s="3">
        <v>39052</v>
      </c>
      <c r="B20" s="4">
        <v>6313.7233999999999</v>
      </c>
      <c r="C20" s="4">
        <v>1474.5531000000001</v>
      </c>
      <c r="D20" s="4">
        <v>55.308700000000002</v>
      </c>
      <c r="E20" s="4">
        <v>1419.2445</v>
      </c>
      <c r="F20" s="5">
        <v>1546.0698</v>
      </c>
      <c r="G20" s="4">
        <v>128.76300000000001</v>
      </c>
      <c r="H20" s="4">
        <v>1417.3068000000001</v>
      </c>
      <c r="I20" s="4">
        <v>8.3674999999999997</v>
      </c>
      <c r="J20" s="5">
        <v>7.2107999999999999</v>
      </c>
      <c r="K20" s="4">
        <v>1.3308</v>
      </c>
      <c r="L20" s="4">
        <v>5.88</v>
      </c>
      <c r="M20" s="4">
        <v>2859.8921999999998</v>
      </c>
      <c r="N20" s="4">
        <v>2333.8679000000002</v>
      </c>
      <c r="O20" s="4">
        <v>4.8728999999999996</v>
      </c>
      <c r="P20" s="4">
        <v>521.15139999999997</v>
      </c>
      <c r="Q20" s="4">
        <v>417.63</v>
      </c>
      <c r="R20" s="4">
        <v>-252.51730000000001</v>
      </c>
      <c r="S20" s="4">
        <v>6566.2407000000003</v>
      </c>
      <c r="T20" s="4">
        <v>0</v>
      </c>
      <c r="U20" s="4">
        <v>0</v>
      </c>
      <c r="V20" s="4">
        <v>76.645200000000003</v>
      </c>
      <c r="W20" s="4">
        <v>57.086100000000002</v>
      </c>
      <c r="X20" s="4">
        <v>19.559100000000001</v>
      </c>
      <c r="Y20" s="4">
        <v>6353.8131000000003</v>
      </c>
      <c r="Z20" s="4">
        <v>6353.8131000000003</v>
      </c>
      <c r="AA20" s="4">
        <v>135.7824</v>
      </c>
    </row>
    <row r="21" spans="1:27" x14ac:dyDescent="0.2">
      <c r="A21" s="3">
        <v>39142</v>
      </c>
      <c r="B21" s="4">
        <v>7285.4817999999996</v>
      </c>
      <c r="C21" s="4">
        <v>1508.9828</v>
      </c>
      <c r="D21" s="4">
        <v>60.929299999999998</v>
      </c>
      <c r="E21" s="4">
        <v>1448.0535</v>
      </c>
      <c r="F21" s="5">
        <v>1810.5737999999999</v>
      </c>
      <c r="G21" s="4">
        <v>135.7209</v>
      </c>
      <c r="H21" s="4">
        <v>1674.8529000000001</v>
      </c>
      <c r="I21" s="4">
        <v>8.6941000000000006</v>
      </c>
      <c r="J21" s="5">
        <v>10.4999</v>
      </c>
      <c r="K21" s="4">
        <v>4.9734999999999996</v>
      </c>
      <c r="L21" s="4">
        <v>5.5263999999999998</v>
      </c>
      <c r="M21" s="4">
        <v>3437.2199000000001</v>
      </c>
      <c r="N21" s="4">
        <v>2774.4582</v>
      </c>
      <c r="O21" s="4">
        <v>5.8418999999999999</v>
      </c>
      <c r="P21" s="4">
        <v>656.91980000000001</v>
      </c>
      <c r="Q21" s="4">
        <v>509.51130000000001</v>
      </c>
      <c r="R21" s="4">
        <v>-248.2988</v>
      </c>
      <c r="S21" s="4">
        <v>7533.7806</v>
      </c>
      <c r="T21" s="4">
        <v>0</v>
      </c>
      <c r="U21" s="4">
        <v>0</v>
      </c>
      <c r="V21" s="4">
        <v>54.356499999999997</v>
      </c>
      <c r="W21" s="4">
        <v>35.024099999999997</v>
      </c>
      <c r="X21" s="4">
        <v>19.3324</v>
      </c>
      <c r="Y21" s="4">
        <v>7281.5432000000001</v>
      </c>
      <c r="Z21" s="4">
        <v>7281.5432000000001</v>
      </c>
      <c r="AA21" s="4">
        <v>197.8809</v>
      </c>
    </row>
    <row r="22" spans="1:27" x14ac:dyDescent="0.2">
      <c r="A22" s="3">
        <v>39234</v>
      </c>
      <c r="B22" s="4">
        <v>8331.3044000000009</v>
      </c>
      <c r="C22" s="4">
        <v>1498.7174</v>
      </c>
      <c r="D22" s="4">
        <v>58.542299999999997</v>
      </c>
      <c r="E22" s="4">
        <v>1440.1750999999999</v>
      </c>
      <c r="F22" s="5">
        <v>1671.1018999999999</v>
      </c>
      <c r="G22" s="4">
        <v>163.47720000000001</v>
      </c>
      <c r="H22" s="4">
        <v>1507.6247000000001</v>
      </c>
      <c r="I22" s="4">
        <v>8.9718</v>
      </c>
      <c r="J22" s="5">
        <v>20.1937</v>
      </c>
      <c r="K22" s="4">
        <v>14.8157</v>
      </c>
      <c r="L22" s="4">
        <v>5.3780000000000001</v>
      </c>
      <c r="M22" s="4">
        <v>4512.0877</v>
      </c>
      <c r="N22" s="4">
        <v>3595.8978000000002</v>
      </c>
      <c r="O22" s="4">
        <v>7.1943000000000001</v>
      </c>
      <c r="P22" s="4">
        <v>908.99559999999997</v>
      </c>
      <c r="Q22" s="4">
        <v>620.23199999999997</v>
      </c>
      <c r="R22" s="4">
        <v>-248.53919999999999</v>
      </c>
      <c r="S22" s="4">
        <v>8579.8436000000002</v>
      </c>
      <c r="T22" s="4">
        <v>0</v>
      </c>
      <c r="U22" s="4">
        <v>0</v>
      </c>
      <c r="V22" s="4">
        <v>34.924599999999998</v>
      </c>
      <c r="W22" s="4">
        <v>23.596599999999999</v>
      </c>
      <c r="X22" s="4">
        <v>11.327999999999999</v>
      </c>
      <c r="Y22" s="4">
        <v>8370.1556999999993</v>
      </c>
      <c r="Z22" s="4">
        <v>8370.1556999999993</v>
      </c>
      <c r="AA22" s="4">
        <v>174.76339999999999</v>
      </c>
    </row>
    <row r="23" spans="1:27" x14ac:dyDescent="0.2">
      <c r="A23" s="3">
        <v>39326</v>
      </c>
      <c r="B23" s="4">
        <v>8978.0601000000006</v>
      </c>
      <c r="C23" s="4">
        <v>1687.2276999999999</v>
      </c>
      <c r="D23" s="4">
        <v>55.8264</v>
      </c>
      <c r="E23" s="4">
        <v>1631.4013</v>
      </c>
      <c r="F23" s="5">
        <v>1798.1762000000001</v>
      </c>
      <c r="G23" s="4">
        <v>135.2115</v>
      </c>
      <c r="H23" s="4">
        <v>1662.9647</v>
      </c>
      <c r="I23" s="4">
        <v>11.418699999999999</v>
      </c>
      <c r="J23" s="5">
        <v>11.3308</v>
      </c>
      <c r="K23" s="4">
        <v>5.3131000000000004</v>
      </c>
      <c r="L23" s="4">
        <v>6.0178000000000003</v>
      </c>
      <c r="M23" s="4">
        <v>4648.8969999999999</v>
      </c>
      <c r="N23" s="4">
        <v>3654.9414999999999</v>
      </c>
      <c r="O23" s="4">
        <v>9.7937999999999992</v>
      </c>
      <c r="P23" s="4">
        <v>984.1617</v>
      </c>
      <c r="Q23" s="4">
        <v>821.00959999999998</v>
      </c>
      <c r="R23" s="4">
        <v>-255.96860000000001</v>
      </c>
      <c r="S23" s="4">
        <v>9234.0287000000008</v>
      </c>
      <c r="T23" s="4">
        <v>0</v>
      </c>
      <c r="U23" s="4">
        <v>0</v>
      </c>
      <c r="V23" s="4">
        <v>60.107599999999998</v>
      </c>
      <c r="W23" s="4">
        <v>48.723399999999998</v>
      </c>
      <c r="X23" s="4">
        <v>11.3842</v>
      </c>
      <c r="Y23" s="4">
        <v>8991.1175000000003</v>
      </c>
      <c r="Z23" s="4">
        <v>8991.1175000000003</v>
      </c>
      <c r="AA23" s="4">
        <v>182.80359999999999</v>
      </c>
    </row>
    <row r="24" spans="1:27" x14ac:dyDescent="0.2">
      <c r="A24" s="3">
        <v>39417</v>
      </c>
      <c r="B24" s="4">
        <v>8989.0035000000007</v>
      </c>
      <c r="C24" s="4">
        <v>1547.0661</v>
      </c>
      <c r="D24" s="4">
        <v>123.06</v>
      </c>
      <c r="E24" s="4">
        <v>1424.0060000000001</v>
      </c>
      <c r="F24" s="5">
        <v>2045.3321000000001</v>
      </c>
      <c r="G24" s="4">
        <v>129.92779999999999</v>
      </c>
      <c r="H24" s="4">
        <v>1915.4042999999999</v>
      </c>
      <c r="I24" s="4">
        <v>13.664199999999999</v>
      </c>
      <c r="J24" s="5">
        <v>9.9982000000000006</v>
      </c>
      <c r="K24" s="4">
        <v>4.0876000000000001</v>
      </c>
      <c r="L24" s="4">
        <v>5.9105999999999996</v>
      </c>
      <c r="M24" s="4">
        <v>4448.1819999999998</v>
      </c>
      <c r="N24" s="4">
        <v>3403.9607000000001</v>
      </c>
      <c r="O24" s="4">
        <v>10.5085</v>
      </c>
      <c r="P24" s="4">
        <v>1033.7128</v>
      </c>
      <c r="Q24" s="4">
        <v>924.76089999999999</v>
      </c>
      <c r="R24" s="4">
        <v>-290.6388</v>
      </c>
      <c r="S24" s="4">
        <v>9279.6422999999995</v>
      </c>
      <c r="T24" s="4">
        <v>0</v>
      </c>
      <c r="U24" s="4">
        <v>0</v>
      </c>
      <c r="V24" s="4">
        <v>82.777799999999999</v>
      </c>
      <c r="W24" s="4">
        <v>71.4208</v>
      </c>
      <c r="X24" s="4">
        <v>11.356999999999999</v>
      </c>
      <c r="Y24" s="4">
        <v>8968.0332999999991</v>
      </c>
      <c r="Z24" s="4">
        <v>8968.0332999999991</v>
      </c>
      <c r="AA24" s="4">
        <v>228.83109999999999</v>
      </c>
    </row>
    <row r="25" spans="1:27" x14ac:dyDescent="0.2">
      <c r="A25" s="3">
        <v>39508</v>
      </c>
      <c r="B25" s="4">
        <v>8262.7834000000003</v>
      </c>
      <c r="C25" s="4">
        <v>1771.192</v>
      </c>
      <c r="D25" s="4">
        <v>81.134900000000002</v>
      </c>
      <c r="E25" s="4">
        <v>1690.0571</v>
      </c>
      <c r="F25" s="5">
        <v>2453.4875000000002</v>
      </c>
      <c r="G25" s="4">
        <v>152.12530000000001</v>
      </c>
      <c r="H25" s="4">
        <v>2301.3622</v>
      </c>
      <c r="I25" s="4">
        <v>16.497499999999999</v>
      </c>
      <c r="J25" s="5">
        <v>16.554400000000001</v>
      </c>
      <c r="K25" s="4">
        <v>10.9979</v>
      </c>
      <c r="L25" s="4">
        <v>5.5564999999999998</v>
      </c>
      <c r="M25" s="4">
        <v>3423.6224000000002</v>
      </c>
      <c r="N25" s="4">
        <v>2749.509</v>
      </c>
      <c r="O25" s="4">
        <v>6.2709999999999999</v>
      </c>
      <c r="P25" s="4">
        <v>667.8424</v>
      </c>
      <c r="Q25" s="4">
        <v>581.42960000000005</v>
      </c>
      <c r="R25" s="4">
        <v>-641.68700000000001</v>
      </c>
      <c r="S25" s="4">
        <v>8904.4704000000002</v>
      </c>
      <c r="T25" s="4">
        <v>0</v>
      </c>
      <c r="U25" s="4">
        <v>0</v>
      </c>
      <c r="V25" s="4">
        <v>85.462000000000003</v>
      </c>
      <c r="W25" s="4">
        <v>74.260300000000001</v>
      </c>
      <c r="X25" s="4">
        <v>11.201599999999999</v>
      </c>
      <c r="Y25" s="4">
        <v>8620.9734000000008</v>
      </c>
      <c r="Z25" s="4">
        <v>8620.9734000000008</v>
      </c>
      <c r="AA25" s="4">
        <v>198.035</v>
      </c>
    </row>
    <row r="26" spans="1:27" x14ac:dyDescent="0.2">
      <c r="A26" s="3">
        <v>39600</v>
      </c>
      <c r="B26" s="4">
        <v>8995.9645999999993</v>
      </c>
      <c r="C26" s="4">
        <v>1629.7184999999999</v>
      </c>
      <c r="D26" s="4">
        <v>82.388800000000003</v>
      </c>
      <c r="E26" s="4">
        <v>1547.3297</v>
      </c>
      <c r="F26" s="5">
        <v>2683.1352000000002</v>
      </c>
      <c r="G26" s="4">
        <v>234.90610000000001</v>
      </c>
      <c r="H26" s="4">
        <v>2448.2291</v>
      </c>
      <c r="I26" s="4">
        <v>10.1061</v>
      </c>
      <c r="J26" s="5">
        <v>11.1717</v>
      </c>
      <c r="K26" s="4">
        <v>5.6487999999999996</v>
      </c>
      <c r="L26" s="4">
        <v>5.5228999999999999</v>
      </c>
      <c r="M26" s="4">
        <v>3916.9904999999999</v>
      </c>
      <c r="N26" s="4">
        <v>3166.4684999999999</v>
      </c>
      <c r="O26" s="4">
        <v>8.1524999999999999</v>
      </c>
      <c r="P26" s="4">
        <v>742.36959999999999</v>
      </c>
      <c r="Q26" s="4">
        <v>744.84259999999995</v>
      </c>
      <c r="R26" s="4">
        <v>-307.18520000000001</v>
      </c>
      <c r="S26" s="4">
        <v>9303.1497999999992</v>
      </c>
      <c r="T26" s="4">
        <v>0</v>
      </c>
      <c r="U26" s="4">
        <v>0</v>
      </c>
      <c r="V26" s="4">
        <v>83.271600000000007</v>
      </c>
      <c r="W26" s="4">
        <v>72.156099999999995</v>
      </c>
      <c r="X26" s="4">
        <v>11.115500000000001</v>
      </c>
      <c r="Y26" s="4">
        <v>8986.7052000000003</v>
      </c>
      <c r="Z26" s="4">
        <v>8986.7052000000003</v>
      </c>
      <c r="AA26" s="4">
        <v>233.173</v>
      </c>
    </row>
    <row r="27" spans="1:27" x14ac:dyDescent="0.2">
      <c r="A27" s="3">
        <v>39692</v>
      </c>
      <c r="B27" s="4">
        <v>8012.0739999999996</v>
      </c>
      <c r="C27" s="4">
        <v>1644.4549</v>
      </c>
      <c r="D27" s="4">
        <v>79.755399999999995</v>
      </c>
      <c r="E27" s="4">
        <v>1564.6994999999999</v>
      </c>
      <c r="F27" s="5">
        <v>2837.1179999999999</v>
      </c>
      <c r="G27" s="4">
        <v>262.9248</v>
      </c>
      <c r="H27" s="4">
        <v>2574.1932000000002</v>
      </c>
      <c r="I27" s="4">
        <v>6.6306000000000003</v>
      </c>
      <c r="J27" s="5">
        <v>14.898199999999999</v>
      </c>
      <c r="K27" s="4">
        <v>9.3415999999999997</v>
      </c>
      <c r="L27" s="4">
        <v>5.5564999999999998</v>
      </c>
      <c r="M27" s="4">
        <v>2915.6415999999999</v>
      </c>
      <c r="N27" s="4">
        <v>2417.6111000000001</v>
      </c>
      <c r="O27" s="4">
        <v>6.1417999999999999</v>
      </c>
      <c r="P27" s="4">
        <v>491.88869999999997</v>
      </c>
      <c r="Q27" s="4">
        <v>593.33079999999995</v>
      </c>
      <c r="R27" s="4">
        <v>-309.59140000000002</v>
      </c>
      <c r="S27" s="4">
        <v>8321.6653999999999</v>
      </c>
      <c r="T27" s="4">
        <v>0</v>
      </c>
      <c r="U27" s="4">
        <v>0</v>
      </c>
      <c r="V27" s="4">
        <v>81.9773</v>
      </c>
      <c r="W27" s="4">
        <v>70.775599999999997</v>
      </c>
      <c r="X27" s="4">
        <v>11.201599999999999</v>
      </c>
      <c r="Y27" s="4">
        <v>8037.4629000000004</v>
      </c>
      <c r="Z27" s="4">
        <v>8037.4629000000004</v>
      </c>
      <c r="AA27" s="4">
        <v>202.2253</v>
      </c>
    </row>
    <row r="28" spans="1:27" x14ac:dyDescent="0.2">
      <c r="A28" s="3">
        <v>39783</v>
      </c>
      <c r="B28" s="4">
        <v>6520.0999000000002</v>
      </c>
      <c r="C28" s="4">
        <v>1331.9319</v>
      </c>
      <c r="D28" s="4">
        <v>65.6113</v>
      </c>
      <c r="E28" s="4">
        <v>1266.3206</v>
      </c>
      <c r="F28" s="5">
        <v>2194.5367000000001</v>
      </c>
      <c r="G28" s="4">
        <v>211.5352</v>
      </c>
      <c r="H28" s="4">
        <v>1983.0014000000001</v>
      </c>
      <c r="I28" s="4">
        <v>-3.3128000000000002</v>
      </c>
      <c r="J28" s="5">
        <v>15.4659</v>
      </c>
      <c r="K28" s="4">
        <v>3.7791000000000001</v>
      </c>
      <c r="L28" s="4">
        <v>11.6868</v>
      </c>
      <c r="M28" s="4">
        <v>2433.1691000000001</v>
      </c>
      <c r="N28" s="4">
        <v>1959.1144999999999</v>
      </c>
      <c r="O28" s="4">
        <v>5.9283000000000001</v>
      </c>
      <c r="P28" s="4">
        <v>468.12630000000001</v>
      </c>
      <c r="Q28" s="4">
        <v>548.30920000000003</v>
      </c>
      <c r="R28" s="4">
        <v>-324.94510000000002</v>
      </c>
      <c r="S28" s="4">
        <v>6845.0451000000003</v>
      </c>
      <c r="T28" s="4">
        <v>0</v>
      </c>
      <c r="U28" s="4">
        <v>0</v>
      </c>
      <c r="V28" s="4">
        <v>74.447699999999998</v>
      </c>
      <c r="W28" s="4">
        <v>57.922400000000003</v>
      </c>
      <c r="X28" s="4">
        <v>16.525300000000001</v>
      </c>
      <c r="Y28" s="4">
        <v>6612.6201000000001</v>
      </c>
      <c r="Z28" s="4">
        <v>6612.6201000000001</v>
      </c>
      <c r="AA28" s="4">
        <v>157.97730000000001</v>
      </c>
    </row>
    <row r="29" spans="1:27" x14ac:dyDescent="0.2">
      <c r="A29" s="3">
        <v>39873</v>
      </c>
      <c r="B29" s="4">
        <v>7475.0096999999996</v>
      </c>
      <c r="C29" s="4">
        <v>1828.9570000000001</v>
      </c>
      <c r="D29" s="4">
        <v>62.410499999999999</v>
      </c>
      <c r="E29" s="4">
        <v>1766.5463999999999</v>
      </c>
      <c r="F29" s="5">
        <v>2824.2064999999998</v>
      </c>
      <c r="G29" s="4">
        <v>331.23950000000002</v>
      </c>
      <c r="H29" s="4">
        <v>2492.9670000000001</v>
      </c>
      <c r="I29" s="4">
        <v>7.2967000000000004</v>
      </c>
      <c r="J29" s="5">
        <v>14.882199999999999</v>
      </c>
      <c r="K29" s="4">
        <v>3.5463</v>
      </c>
      <c r="L29" s="4">
        <v>11.335900000000001</v>
      </c>
      <c r="M29" s="4">
        <v>2313.0097000000001</v>
      </c>
      <c r="N29" s="4">
        <v>1897.9689000000001</v>
      </c>
      <c r="O29" s="4">
        <v>5.1896000000000004</v>
      </c>
      <c r="P29" s="4">
        <v>409.85109999999997</v>
      </c>
      <c r="Q29" s="4">
        <v>486.65769999999998</v>
      </c>
      <c r="R29" s="4">
        <v>-357.74020000000002</v>
      </c>
      <c r="S29" s="4">
        <v>7832.7498999999998</v>
      </c>
      <c r="T29" s="4">
        <v>0</v>
      </c>
      <c r="U29" s="4">
        <v>0</v>
      </c>
      <c r="V29" s="4">
        <v>67.527799999999999</v>
      </c>
      <c r="W29" s="4">
        <v>51.3444</v>
      </c>
      <c r="X29" s="4">
        <v>16.183499999999999</v>
      </c>
      <c r="Y29" s="4">
        <v>7589.1759000000002</v>
      </c>
      <c r="Z29" s="4">
        <v>7589.1759000000002</v>
      </c>
      <c r="AA29" s="4">
        <v>176.0462</v>
      </c>
    </row>
    <row r="30" spans="1:27" x14ac:dyDescent="0.2">
      <c r="A30" s="3">
        <v>39965</v>
      </c>
      <c r="B30" s="4">
        <v>8096.5185000000001</v>
      </c>
      <c r="C30" s="4">
        <v>1604.1618000000001</v>
      </c>
      <c r="D30" s="4">
        <v>76.5685</v>
      </c>
      <c r="E30" s="4">
        <v>1527.5933</v>
      </c>
      <c r="F30" s="5">
        <v>2696.4049</v>
      </c>
      <c r="G30" s="4">
        <v>387.31479999999999</v>
      </c>
      <c r="H30" s="4">
        <v>2309.0900999999999</v>
      </c>
      <c r="I30" s="4">
        <v>13.819000000000001</v>
      </c>
      <c r="J30" s="5">
        <v>11.087999999999999</v>
      </c>
      <c r="K30" s="4">
        <v>0</v>
      </c>
      <c r="L30" s="4">
        <v>11.087999999999999</v>
      </c>
      <c r="M30" s="4">
        <v>3238.6531</v>
      </c>
      <c r="N30" s="4">
        <v>2543.1367</v>
      </c>
      <c r="O30" s="4">
        <v>6.0167999999999999</v>
      </c>
      <c r="P30" s="4">
        <v>689.49950000000001</v>
      </c>
      <c r="Q30" s="4">
        <v>532.39170000000001</v>
      </c>
      <c r="R30" s="4">
        <v>-354.33530000000002</v>
      </c>
      <c r="S30" s="4">
        <v>8450.8538000000008</v>
      </c>
      <c r="T30" s="4">
        <v>0</v>
      </c>
      <c r="U30" s="4">
        <v>0</v>
      </c>
      <c r="V30" s="4">
        <v>78.379000000000005</v>
      </c>
      <c r="W30" s="4">
        <v>68.173000000000002</v>
      </c>
      <c r="X30" s="4">
        <v>10.206</v>
      </c>
      <c r="Y30" s="4">
        <v>8211.5116999999991</v>
      </c>
      <c r="Z30" s="4">
        <v>8211.5116999999991</v>
      </c>
      <c r="AA30" s="4">
        <v>160.9631</v>
      </c>
    </row>
    <row r="31" spans="1:27" x14ac:dyDescent="0.2">
      <c r="A31" s="3">
        <v>40057</v>
      </c>
      <c r="B31" s="4">
        <v>9593.8528000000006</v>
      </c>
      <c r="C31" s="4">
        <v>1894.4173000000001</v>
      </c>
      <c r="D31" s="4">
        <v>98.285600000000002</v>
      </c>
      <c r="E31" s="4">
        <v>1796.1316999999999</v>
      </c>
      <c r="F31" s="5">
        <v>2917.8676</v>
      </c>
      <c r="G31" s="4">
        <v>511.89269999999999</v>
      </c>
      <c r="H31" s="4">
        <v>2405.9749000000002</v>
      </c>
      <c r="I31" s="4">
        <v>10.7285</v>
      </c>
      <c r="J31" s="5">
        <v>9.2155000000000005</v>
      </c>
      <c r="K31" s="4">
        <v>4.2099999999999999E-2</v>
      </c>
      <c r="L31" s="4">
        <v>9.1734000000000009</v>
      </c>
      <c r="M31" s="4">
        <v>4168.3661000000002</v>
      </c>
      <c r="N31" s="4">
        <v>2939.0464000000002</v>
      </c>
      <c r="O31" s="4">
        <v>6.8959999999999999</v>
      </c>
      <c r="P31" s="4">
        <v>1222.4237000000001</v>
      </c>
      <c r="Q31" s="4">
        <v>593.25779999999997</v>
      </c>
      <c r="R31" s="4">
        <v>-363.26440000000002</v>
      </c>
      <c r="S31" s="4">
        <v>9957.1172000000006</v>
      </c>
      <c r="T31" s="4">
        <v>0</v>
      </c>
      <c r="U31" s="4">
        <v>0</v>
      </c>
      <c r="V31" s="4">
        <v>77.413799999999995</v>
      </c>
      <c r="W31" s="4">
        <v>72.557400000000001</v>
      </c>
      <c r="X31" s="4">
        <v>4.8563999999999998</v>
      </c>
      <c r="Y31" s="4">
        <v>9705.2165000000005</v>
      </c>
      <c r="Z31" s="4">
        <v>9705.2165000000005</v>
      </c>
      <c r="AA31" s="4">
        <v>174.48689999999999</v>
      </c>
    </row>
    <row r="32" spans="1:27" x14ac:dyDescent="0.2">
      <c r="A32" s="3">
        <v>40148</v>
      </c>
      <c r="B32" s="4">
        <v>9643.6278999999995</v>
      </c>
      <c r="C32" s="4">
        <v>1626.3804</v>
      </c>
      <c r="D32" s="4">
        <v>81.825100000000006</v>
      </c>
      <c r="E32" s="4">
        <v>1544.5553</v>
      </c>
      <c r="F32" s="5">
        <v>2717.1819999999998</v>
      </c>
      <c r="G32" s="4">
        <v>430.3818</v>
      </c>
      <c r="H32" s="4">
        <v>2286.8002000000001</v>
      </c>
      <c r="I32" s="4">
        <v>17.1981</v>
      </c>
      <c r="J32" s="5">
        <v>13.682</v>
      </c>
      <c r="K32" s="4">
        <v>4.6729000000000003</v>
      </c>
      <c r="L32" s="4">
        <v>9.0091000000000001</v>
      </c>
      <c r="M32" s="4">
        <v>4636.7097999999996</v>
      </c>
      <c r="N32" s="4">
        <v>3159.0360000000001</v>
      </c>
      <c r="O32" s="4">
        <v>7.4010999999999996</v>
      </c>
      <c r="P32" s="4">
        <v>1470.2727</v>
      </c>
      <c r="Q32" s="4">
        <v>632.47569999999996</v>
      </c>
      <c r="R32" s="4">
        <v>-329.428</v>
      </c>
      <c r="S32" s="4">
        <v>9973.0558999999994</v>
      </c>
      <c r="T32" s="4">
        <v>0</v>
      </c>
      <c r="U32" s="4">
        <v>0</v>
      </c>
      <c r="V32" s="4">
        <v>67.244799999999998</v>
      </c>
      <c r="W32" s="4">
        <v>49.742800000000003</v>
      </c>
      <c r="X32" s="4">
        <v>17.501999999999999</v>
      </c>
      <c r="Y32" s="4">
        <v>9712.8680999999997</v>
      </c>
      <c r="Z32" s="4">
        <v>9712.8680999999997</v>
      </c>
      <c r="AA32" s="4">
        <v>192.94309999999999</v>
      </c>
    </row>
    <row r="33" spans="1:27" x14ac:dyDescent="0.2">
      <c r="A33" s="3">
        <v>40238</v>
      </c>
      <c r="B33" s="4">
        <v>10975.528200000001</v>
      </c>
      <c r="C33" s="4">
        <v>1776.8918000000001</v>
      </c>
      <c r="D33" s="4">
        <v>93.164900000000003</v>
      </c>
      <c r="E33" s="4">
        <v>1683.7267999999999</v>
      </c>
      <c r="F33" s="5">
        <v>3355.2220000000002</v>
      </c>
      <c r="G33" s="4">
        <v>508.60919999999999</v>
      </c>
      <c r="H33" s="4">
        <v>2846.6127999999999</v>
      </c>
      <c r="I33" s="4">
        <v>16.0945</v>
      </c>
      <c r="J33" s="5">
        <v>8.9847999999999999</v>
      </c>
      <c r="K33" s="4">
        <v>0</v>
      </c>
      <c r="L33" s="4">
        <v>8.9847999999999999</v>
      </c>
      <c r="M33" s="4">
        <v>5130.5628999999999</v>
      </c>
      <c r="N33" s="4">
        <v>3544.3532</v>
      </c>
      <c r="O33" s="4">
        <v>7.8859000000000004</v>
      </c>
      <c r="P33" s="4">
        <v>1578.3239000000001</v>
      </c>
      <c r="Q33" s="4">
        <v>687.7722</v>
      </c>
      <c r="R33" s="4">
        <v>-336.25740000000002</v>
      </c>
      <c r="S33" s="4">
        <v>11311.785599999999</v>
      </c>
      <c r="T33" s="4">
        <v>0</v>
      </c>
      <c r="U33" s="4">
        <v>0</v>
      </c>
      <c r="V33" s="4">
        <v>70.245599999999996</v>
      </c>
      <c r="W33" s="4">
        <v>42.002899999999997</v>
      </c>
      <c r="X33" s="4">
        <v>28.242599999999999</v>
      </c>
      <c r="Y33" s="4">
        <v>11002.1077</v>
      </c>
      <c r="Z33" s="4">
        <v>11002.1077</v>
      </c>
      <c r="AA33" s="4">
        <v>239.4323</v>
      </c>
    </row>
    <row r="34" spans="1:27" x14ac:dyDescent="0.2">
      <c r="A34" s="3">
        <v>40330</v>
      </c>
      <c r="B34" s="4">
        <v>11668.3194</v>
      </c>
      <c r="C34" s="4">
        <v>2117.1037000000001</v>
      </c>
      <c r="D34" s="4">
        <v>129.73500000000001</v>
      </c>
      <c r="E34" s="4">
        <v>1987.3688</v>
      </c>
      <c r="F34" s="5">
        <v>3476.1878999999999</v>
      </c>
      <c r="G34" s="4">
        <v>341.15390000000002</v>
      </c>
      <c r="H34" s="4">
        <v>3135.0340000000001</v>
      </c>
      <c r="I34" s="4">
        <v>7.2518000000000002</v>
      </c>
      <c r="J34" s="5">
        <v>8.8512000000000004</v>
      </c>
      <c r="K34" s="4">
        <v>0</v>
      </c>
      <c r="L34" s="4">
        <v>8.8512000000000004</v>
      </c>
      <c r="M34" s="4">
        <v>5340.3625000000002</v>
      </c>
      <c r="N34" s="4">
        <v>3767.3764000000001</v>
      </c>
      <c r="O34" s="4">
        <v>7.9405999999999999</v>
      </c>
      <c r="P34" s="4">
        <v>1565.0454</v>
      </c>
      <c r="Q34" s="4">
        <v>718.56230000000005</v>
      </c>
      <c r="R34" s="4">
        <v>-329.13529999999997</v>
      </c>
      <c r="S34" s="4">
        <v>11997.4547</v>
      </c>
      <c r="T34" s="4">
        <v>0</v>
      </c>
      <c r="U34" s="4">
        <v>0</v>
      </c>
      <c r="V34" s="4">
        <v>80.025400000000005</v>
      </c>
      <c r="W34" s="4">
        <v>53.587899999999998</v>
      </c>
      <c r="X34" s="4">
        <v>26.4375</v>
      </c>
      <c r="Y34" s="4">
        <v>11646.264499999999</v>
      </c>
      <c r="Z34" s="4">
        <v>11646.264499999999</v>
      </c>
      <c r="AA34" s="4">
        <v>271.16480000000001</v>
      </c>
    </row>
    <row r="35" spans="1:27" x14ac:dyDescent="0.2">
      <c r="A35" s="3">
        <v>40422</v>
      </c>
      <c r="B35" s="4">
        <v>12793.1767</v>
      </c>
      <c r="C35" s="4">
        <v>1981.2844</v>
      </c>
      <c r="D35" s="4">
        <v>94.584900000000005</v>
      </c>
      <c r="E35" s="4">
        <v>1886.6994</v>
      </c>
      <c r="F35" s="5">
        <v>3696.4153999999999</v>
      </c>
      <c r="G35" s="4">
        <v>269.99040000000002</v>
      </c>
      <c r="H35" s="4">
        <v>3426.4250000000002</v>
      </c>
      <c r="I35" s="4">
        <v>16.225100000000001</v>
      </c>
      <c r="J35" s="5">
        <v>10.521800000000001</v>
      </c>
      <c r="K35" s="4">
        <v>1.6694</v>
      </c>
      <c r="L35" s="4">
        <v>8.8523999999999994</v>
      </c>
      <c r="M35" s="4">
        <v>6533.4691000000003</v>
      </c>
      <c r="N35" s="4">
        <v>5035.8838999999998</v>
      </c>
      <c r="O35" s="4">
        <v>7.4747000000000003</v>
      </c>
      <c r="P35" s="4">
        <v>1490.1105</v>
      </c>
      <c r="Q35" s="4">
        <v>555.26089999999999</v>
      </c>
      <c r="R35" s="4">
        <v>-305.02980000000002</v>
      </c>
      <c r="S35" s="4">
        <v>13098.2065</v>
      </c>
      <c r="T35" s="4">
        <v>0</v>
      </c>
      <c r="U35" s="4">
        <v>0</v>
      </c>
      <c r="V35" s="4">
        <v>61.380699999999997</v>
      </c>
      <c r="W35" s="4">
        <v>35.165100000000002</v>
      </c>
      <c r="X35" s="4">
        <v>26.215599999999998</v>
      </c>
      <c r="Y35" s="4">
        <v>12741.6381</v>
      </c>
      <c r="Z35" s="4">
        <v>12741.6381</v>
      </c>
      <c r="AA35" s="4">
        <v>295.18770000000001</v>
      </c>
    </row>
    <row r="36" spans="1:27" x14ac:dyDescent="0.2">
      <c r="A36" s="3">
        <v>40513</v>
      </c>
      <c r="B36" s="4">
        <v>13106.084800000001</v>
      </c>
      <c r="C36" s="4">
        <v>1588.7815000000001</v>
      </c>
      <c r="D36" s="4">
        <v>99.607299999999995</v>
      </c>
      <c r="E36" s="4">
        <v>1489.1741999999999</v>
      </c>
      <c r="F36" s="5">
        <v>3587.2080000000001</v>
      </c>
      <c r="G36" s="4">
        <v>199.0795</v>
      </c>
      <c r="H36" s="4">
        <v>3388.1284999999998</v>
      </c>
      <c r="I36" s="4">
        <v>16.138100000000001</v>
      </c>
      <c r="J36" s="5">
        <v>9.2297999999999991</v>
      </c>
      <c r="K36" s="4">
        <v>0.79600000000000004</v>
      </c>
      <c r="L36" s="4">
        <v>8.4337999999999997</v>
      </c>
      <c r="M36" s="4">
        <v>7307.1297999999997</v>
      </c>
      <c r="N36" s="4">
        <v>5681.0542999999998</v>
      </c>
      <c r="O36" s="4">
        <v>8.3767999999999994</v>
      </c>
      <c r="P36" s="4">
        <v>1617.6986999999999</v>
      </c>
      <c r="Q36" s="4">
        <v>597.59770000000003</v>
      </c>
      <c r="R36" s="4">
        <v>-290.64339999999999</v>
      </c>
      <c r="S36" s="4">
        <v>13396.7282</v>
      </c>
      <c r="T36" s="4">
        <v>0</v>
      </c>
      <c r="U36" s="4">
        <v>0</v>
      </c>
      <c r="V36" s="4">
        <v>59.307000000000002</v>
      </c>
      <c r="W36" s="4">
        <v>33.478200000000001</v>
      </c>
      <c r="X36" s="4">
        <v>25.828800000000001</v>
      </c>
      <c r="Y36" s="4">
        <v>13060.5065</v>
      </c>
      <c r="Z36" s="4">
        <v>13060.5065</v>
      </c>
      <c r="AA36" s="4">
        <v>276.91469999999998</v>
      </c>
    </row>
    <row r="37" spans="1:27" x14ac:dyDescent="0.2">
      <c r="A37" s="3">
        <v>40603</v>
      </c>
      <c r="B37" s="4">
        <v>13289.924800000001</v>
      </c>
      <c r="C37" s="4">
        <v>1446.7683999999999</v>
      </c>
      <c r="D37" s="4">
        <v>188.37289999999999</v>
      </c>
      <c r="E37" s="4">
        <v>1258.3955000000001</v>
      </c>
      <c r="F37" s="5">
        <v>3790.9575</v>
      </c>
      <c r="G37" s="4">
        <v>226.09</v>
      </c>
      <c r="H37" s="4">
        <v>3564.8674999999998</v>
      </c>
      <c r="I37" s="4">
        <v>28.7837</v>
      </c>
      <c r="J37" s="5">
        <v>1.3349</v>
      </c>
      <c r="K37" s="4">
        <v>0.1338</v>
      </c>
      <c r="L37" s="4">
        <v>1.2012</v>
      </c>
      <c r="M37" s="4">
        <v>7220.8591999999999</v>
      </c>
      <c r="N37" s="4">
        <v>5454.0681999999997</v>
      </c>
      <c r="O37" s="4">
        <v>10.610099999999999</v>
      </c>
      <c r="P37" s="4">
        <v>1756.1809000000001</v>
      </c>
      <c r="Q37" s="4">
        <v>801.22119999999995</v>
      </c>
      <c r="R37" s="4">
        <v>-257.21350000000001</v>
      </c>
      <c r="S37" s="4">
        <v>13547.138300000001</v>
      </c>
      <c r="T37" s="4">
        <v>0</v>
      </c>
      <c r="U37" s="4">
        <v>0</v>
      </c>
      <c r="V37" s="4">
        <v>132.33410000000001</v>
      </c>
      <c r="W37" s="4">
        <v>98.613</v>
      </c>
      <c r="X37" s="4">
        <v>33.7211</v>
      </c>
      <c r="Y37" s="4">
        <v>13145.1384</v>
      </c>
      <c r="Z37" s="4">
        <v>13145.1384</v>
      </c>
      <c r="AA37" s="4">
        <v>269.66579999999999</v>
      </c>
    </row>
    <row r="38" spans="1:27" x14ac:dyDescent="0.2">
      <c r="A38" s="3">
        <v>40695</v>
      </c>
      <c r="B38" s="4">
        <v>13299.9023</v>
      </c>
      <c r="C38" s="4">
        <v>1572.3569</v>
      </c>
      <c r="D38" s="4">
        <v>169.8134</v>
      </c>
      <c r="E38" s="4">
        <v>1402.5435</v>
      </c>
      <c r="F38" s="5">
        <v>3865.6244999999999</v>
      </c>
      <c r="G38" s="4">
        <v>165.8511</v>
      </c>
      <c r="H38" s="4">
        <v>3699.7734999999998</v>
      </c>
      <c r="I38" s="4">
        <v>30.157599999999999</v>
      </c>
      <c r="J38" s="5">
        <v>4.415</v>
      </c>
      <c r="K38" s="4">
        <v>0.62580000000000002</v>
      </c>
      <c r="L38" s="4">
        <v>3.7892000000000001</v>
      </c>
      <c r="M38" s="4">
        <v>7148.8364000000001</v>
      </c>
      <c r="N38" s="4">
        <v>5535.2618000000002</v>
      </c>
      <c r="O38" s="4">
        <v>12.408099999999999</v>
      </c>
      <c r="P38" s="4">
        <v>1601.1666</v>
      </c>
      <c r="Q38" s="4">
        <v>678.51189999999997</v>
      </c>
      <c r="R38" s="4">
        <v>-331.08550000000002</v>
      </c>
      <c r="S38" s="4">
        <v>13630.987800000001</v>
      </c>
      <c r="T38" s="4">
        <v>0</v>
      </c>
      <c r="U38" s="4">
        <v>0</v>
      </c>
      <c r="V38" s="4">
        <v>235.61070000000001</v>
      </c>
      <c r="W38" s="4">
        <v>194.3459</v>
      </c>
      <c r="X38" s="4">
        <v>41.264699999999998</v>
      </c>
      <c r="Y38" s="4">
        <v>13140.1811</v>
      </c>
      <c r="Z38" s="4">
        <v>13140.1811</v>
      </c>
      <c r="AA38" s="4">
        <v>255.196</v>
      </c>
    </row>
    <row r="39" spans="1:27" x14ac:dyDescent="0.2">
      <c r="A39" s="3">
        <v>40787</v>
      </c>
      <c r="B39" s="4">
        <v>11929.243200000001</v>
      </c>
      <c r="C39" s="4">
        <v>1632.2203</v>
      </c>
      <c r="D39" s="4">
        <v>144.2884</v>
      </c>
      <c r="E39" s="4">
        <v>1487.9319</v>
      </c>
      <c r="F39" s="5">
        <v>4094.0888</v>
      </c>
      <c r="G39" s="4">
        <v>179.69229999999999</v>
      </c>
      <c r="H39" s="4">
        <v>3914.3964999999998</v>
      </c>
      <c r="I39" s="4">
        <v>11.481400000000001</v>
      </c>
      <c r="J39" s="5">
        <v>7.1639999999999997</v>
      </c>
      <c r="K39" s="4">
        <v>1.6097999999999999</v>
      </c>
      <c r="L39" s="4">
        <v>5.5541</v>
      </c>
      <c r="M39" s="4">
        <v>5582.6575000000003</v>
      </c>
      <c r="N39" s="4">
        <v>4309.6558999999997</v>
      </c>
      <c r="O39" s="4">
        <v>10.742800000000001</v>
      </c>
      <c r="P39" s="4">
        <v>1262.2588000000001</v>
      </c>
      <c r="Q39" s="4">
        <v>601.63130000000001</v>
      </c>
      <c r="R39" s="4">
        <v>-322.68959999999998</v>
      </c>
      <c r="S39" s="4">
        <v>12251.9328</v>
      </c>
      <c r="T39" s="4">
        <v>0</v>
      </c>
      <c r="U39" s="4">
        <v>0</v>
      </c>
      <c r="V39" s="4">
        <v>198.80430000000001</v>
      </c>
      <c r="W39" s="4">
        <v>157.15</v>
      </c>
      <c r="X39" s="4">
        <v>41.654299999999999</v>
      </c>
      <c r="Y39" s="4">
        <v>11790.408600000001</v>
      </c>
      <c r="Z39" s="4">
        <v>11790.408600000001</v>
      </c>
      <c r="AA39" s="4">
        <v>262.7199</v>
      </c>
    </row>
    <row r="40" spans="1:27" x14ac:dyDescent="0.2">
      <c r="A40" s="3">
        <v>40878</v>
      </c>
      <c r="B40" s="4">
        <v>12158.275799999999</v>
      </c>
      <c r="C40" s="4">
        <v>1488.4974999999999</v>
      </c>
      <c r="D40" s="4">
        <v>172.1679</v>
      </c>
      <c r="E40" s="4">
        <v>1316.3296</v>
      </c>
      <c r="F40" s="5">
        <v>4038.3501999999999</v>
      </c>
      <c r="G40" s="4">
        <v>93.391300000000001</v>
      </c>
      <c r="H40" s="4">
        <v>3944.9589000000001</v>
      </c>
      <c r="I40" s="4">
        <v>8.8686000000000007</v>
      </c>
      <c r="J40" s="5">
        <v>7.9596999999999998</v>
      </c>
      <c r="K40" s="4">
        <v>0.99250000000000005</v>
      </c>
      <c r="L40" s="4">
        <v>6.9672000000000001</v>
      </c>
      <c r="M40" s="4">
        <v>5670.9452000000001</v>
      </c>
      <c r="N40" s="4">
        <v>4436.2626</v>
      </c>
      <c r="O40" s="4">
        <v>13.5198</v>
      </c>
      <c r="P40" s="4">
        <v>1221.1628000000001</v>
      </c>
      <c r="Q40" s="4">
        <v>943.65470000000005</v>
      </c>
      <c r="R40" s="4">
        <v>45.912300000000002</v>
      </c>
      <c r="S40" s="4">
        <v>12112.363600000001</v>
      </c>
      <c r="T40" s="4">
        <v>0</v>
      </c>
      <c r="U40" s="4">
        <v>0</v>
      </c>
      <c r="V40" s="4">
        <v>195.7775</v>
      </c>
      <c r="W40" s="4">
        <v>153.20529999999999</v>
      </c>
      <c r="X40" s="4">
        <v>42.572200000000002</v>
      </c>
      <c r="Y40" s="4">
        <v>11675.481299999999</v>
      </c>
      <c r="Z40" s="4">
        <v>11675.481299999999</v>
      </c>
      <c r="AA40" s="4">
        <v>241.10470000000001</v>
      </c>
    </row>
    <row r="41" spans="1:27" x14ac:dyDescent="0.2">
      <c r="A41" s="3">
        <v>40969</v>
      </c>
      <c r="B41" s="4">
        <v>13104.720499999999</v>
      </c>
      <c r="C41" s="4">
        <v>1641.4179999999999</v>
      </c>
      <c r="D41" s="4">
        <v>184.18289999999999</v>
      </c>
      <c r="E41" s="4">
        <v>1457.2349999999999</v>
      </c>
      <c r="F41" s="5">
        <v>4156.2896000000001</v>
      </c>
      <c r="G41" s="4">
        <v>135.92750000000001</v>
      </c>
      <c r="H41" s="4">
        <v>4020.3620999999998</v>
      </c>
      <c r="I41" s="4">
        <v>24.317399999999999</v>
      </c>
      <c r="J41" s="5">
        <v>10.270200000000001</v>
      </c>
      <c r="K41" s="4">
        <v>0.93779999999999997</v>
      </c>
      <c r="L41" s="4">
        <v>9.3324999999999996</v>
      </c>
      <c r="M41" s="4">
        <v>6424.6805999999997</v>
      </c>
      <c r="N41" s="4">
        <v>4990.1400999999996</v>
      </c>
      <c r="O41" s="4">
        <v>12.3597</v>
      </c>
      <c r="P41" s="4">
        <v>1422.1806999999999</v>
      </c>
      <c r="Q41" s="4">
        <v>847.74469999999997</v>
      </c>
      <c r="R41" s="4">
        <v>33.443600000000004</v>
      </c>
      <c r="S41" s="4">
        <v>13071.276900000001</v>
      </c>
      <c r="T41" s="4">
        <v>0</v>
      </c>
      <c r="U41" s="4">
        <v>0</v>
      </c>
      <c r="V41" s="4">
        <v>225.42269999999999</v>
      </c>
      <c r="W41" s="4">
        <v>182.74160000000001</v>
      </c>
      <c r="X41" s="4">
        <v>42.681100000000001</v>
      </c>
      <c r="Y41" s="4">
        <v>12608.531800000001</v>
      </c>
      <c r="Z41" s="4">
        <v>12608.531800000001</v>
      </c>
      <c r="AA41" s="4">
        <v>237.32239999999999</v>
      </c>
    </row>
    <row r="42" spans="1:27" x14ac:dyDescent="0.2">
      <c r="A42" s="3">
        <v>41061</v>
      </c>
      <c r="B42" s="4">
        <v>12578.838100000001</v>
      </c>
      <c r="C42" s="4">
        <v>1674.9159999999999</v>
      </c>
      <c r="D42" s="4">
        <v>160.36410000000001</v>
      </c>
      <c r="E42" s="4">
        <v>1514.5518999999999</v>
      </c>
      <c r="F42" s="5">
        <v>4158.1408000000001</v>
      </c>
      <c r="G42" s="4">
        <v>110.42529999999999</v>
      </c>
      <c r="H42" s="4">
        <v>4047.7156</v>
      </c>
      <c r="I42" s="4">
        <v>13.4436</v>
      </c>
      <c r="J42" s="5">
        <v>14.277699999999999</v>
      </c>
      <c r="K42" s="4">
        <v>1.1005</v>
      </c>
      <c r="L42" s="4">
        <v>13.177300000000001</v>
      </c>
      <c r="M42" s="4">
        <v>5797.0537999999997</v>
      </c>
      <c r="N42" s="4">
        <v>4527.6180000000004</v>
      </c>
      <c r="O42" s="4">
        <v>14.8635</v>
      </c>
      <c r="P42" s="4">
        <v>1254.5723</v>
      </c>
      <c r="Q42" s="4">
        <v>921.00609999999995</v>
      </c>
      <c r="R42" s="4">
        <v>5.4302999999999999</v>
      </c>
      <c r="S42" s="4">
        <v>12573.407800000001</v>
      </c>
      <c r="T42" s="4">
        <v>0</v>
      </c>
      <c r="U42" s="4">
        <v>0</v>
      </c>
      <c r="V42" s="4">
        <v>239.23820000000001</v>
      </c>
      <c r="W42" s="4">
        <v>187.63159999999999</v>
      </c>
      <c r="X42" s="4">
        <v>51.6066</v>
      </c>
      <c r="Y42" s="4">
        <v>12089.212100000001</v>
      </c>
      <c r="Z42" s="4">
        <v>12089.212100000001</v>
      </c>
      <c r="AA42" s="4">
        <v>244.95750000000001</v>
      </c>
    </row>
    <row r="43" spans="1:27" x14ac:dyDescent="0.2">
      <c r="A43" s="3">
        <v>41153</v>
      </c>
      <c r="B43" s="4">
        <v>12427.7444</v>
      </c>
      <c r="C43" s="4">
        <v>1586.0847000000001</v>
      </c>
      <c r="D43" s="4">
        <v>144.96969999999999</v>
      </c>
      <c r="E43" s="4">
        <v>1441.1151</v>
      </c>
      <c r="F43" s="5">
        <v>4246.1365999999998</v>
      </c>
      <c r="G43" s="4">
        <v>111.8484</v>
      </c>
      <c r="H43" s="4">
        <v>4134.2882</v>
      </c>
      <c r="I43" s="4">
        <v>31.316700000000001</v>
      </c>
      <c r="J43" s="5">
        <v>17.036200000000001</v>
      </c>
      <c r="K43" s="4">
        <v>0.5988</v>
      </c>
      <c r="L43" s="4">
        <v>16.4374</v>
      </c>
      <c r="M43" s="4">
        <v>5645.2285000000002</v>
      </c>
      <c r="N43" s="4">
        <v>4356.4641000000001</v>
      </c>
      <c r="O43" s="4">
        <v>45.086199999999998</v>
      </c>
      <c r="P43" s="4">
        <v>1243.6782000000001</v>
      </c>
      <c r="Q43" s="4">
        <v>901.94169999999997</v>
      </c>
      <c r="R43" s="4">
        <v>-12.246600000000001</v>
      </c>
      <c r="S43" s="4">
        <v>12439.991</v>
      </c>
      <c r="T43" s="4">
        <v>0</v>
      </c>
      <c r="U43" s="4">
        <v>0</v>
      </c>
      <c r="V43" s="4">
        <v>258.89370000000002</v>
      </c>
      <c r="W43" s="4">
        <v>210.95920000000001</v>
      </c>
      <c r="X43" s="4">
        <v>47.9345</v>
      </c>
      <c r="Y43" s="4">
        <v>11914.8079</v>
      </c>
      <c r="Z43" s="4">
        <v>11914.8079</v>
      </c>
      <c r="AA43" s="4">
        <v>266.2894</v>
      </c>
    </row>
    <row r="44" spans="1:27" x14ac:dyDescent="0.2">
      <c r="A44" s="3">
        <v>41244</v>
      </c>
      <c r="B44" s="4">
        <v>12608.649600000001</v>
      </c>
      <c r="C44" s="4">
        <v>1687.9166</v>
      </c>
      <c r="D44" s="4">
        <v>160.0351</v>
      </c>
      <c r="E44" s="4">
        <v>1527.8815</v>
      </c>
      <c r="F44" s="5">
        <v>4208.1683000000003</v>
      </c>
      <c r="G44" s="4">
        <v>101.1277</v>
      </c>
      <c r="H44" s="4">
        <v>4107.0406000000003</v>
      </c>
      <c r="I44" s="4">
        <v>26.180700000000002</v>
      </c>
      <c r="J44" s="5">
        <v>19.338699999999999</v>
      </c>
      <c r="K44" s="4">
        <v>0.36559999999999998</v>
      </c>
      <c r="L44" s="4">
        <v>18.973099999999999</v>
      </c>
      <c r="M44" s="4">
        <v>5776.0603000000001</v>
      </c>
      <c r="N44" s="4">
        <v>4468.5214999999998</v>
      </c>
      <c r="O44" s="4">
        <v>10.9939</v>
      </c>
      <c r="P44" s="4">
        <v>1296.5450000000001</v>
      </c>
      <c r="Q44" s="4">
        <v>890.98500000000001</v>
      </c>
      <c r="R44" s="4">
        <v>62.734900000000003</v>
      </c>
      <c r="S44" s="4">
        <v>12545.914699999999</v>
      </c>
      <c r="T44" s="4">
        <v>0</v>
      </c>
      <c r="U44" s="4">
        <v>0</v>
      </c>
      <c r="V44" s="4">
        <v>283.49599999999998</v>
      </c>
      <c r="W44" s="4">
        <v>228.161</v>
      </c>
      <c r="X44" s="4">
        <v>55.335000000000001</v>
      </c>
      <c r="Y44" s="4">
        <v>12022.187900000001</v>
      </c>
      <c r="Z44" s="4">
        <v>12022.187900000001</v>
      </c>
      <c r="AA44" s="4">
        <v>240.23079999999999</v>
      </c>
    </row>
    <row r="45" spans="1:27" x14ac:dyDescent="0.2">
      <c r="A45" s="3">
        <v>41334</v>
      </c>
      <c r="B45" s="4">
        <v>13333.221600000001</v>
      </c>
      <c r="C45" s="4">
        <v>1568.5550000000001</v>
      </c>
      <c r="D45" s="4">
        <v>151.26580000000001</v>
      </c>
      <c r="E45" s="4">
        <v>1417.2892999999999</v>
      </c>
      <c r="F45" s="5">
        <v>4607.4456</v>
      </c>
      <c r="G45" s="4">
        <v>171.34</v>
      </c>
      <c r="H45" s="4">
        <v>4436.1054999999997</v>
      </c>
      <c r="I45" s="4">
        <v>-19.052399999999999</v>
      </c>
      <c r="J45" s="5">
        <v>0.3624</v>
      </c>
      <c r="K45" s="4">
        <v>0.3624</v>
      </c>
      <c r="L45" s="4">
        <v>0</v>
      </c>
      <c r="M45" s="4">
        <v>6119.1953000000003</v>
      </c>
      <c r="N45" s="4">
        <v>4714.0832</v>
      </c>
      <c r="O45" s="4">
        <v>9.1826000000000008</v>
      </c>
      <c r="P45" s="4">
        <v>1395.9295</v>
      </c>
      <c r="Q45" s="4">
        <v>1056.7157</v>
      </c>
      <c r="R45" s="4">
        <v>61.895600000000002</v>
      </c>
      <c r="S45" s="4">
        <v>13271.3261</v>
      </c>
      <c r="T45" s="4">
        <v>0</v>
      </c>
      <c r="U45" s="4">
        <v>0</v>
      </c>
      <c r="V45" s="4">
        <v>320.54239999999999</v>
      </c>
      <c r="W45" s="4">
        <v>257.5059</v>
      </c>
      <c r="X45" s="4">
        <v>63.036499999999997</v>
      </c>
      <c r="Y45" s="4">
        <v>12677.854499999999</v>
      </c>
      <c r="Z45" s="4">
        <v>12677.854499999999</v>
      </c>
      <c r="AA45" s="4">
        <v>272.92930000000001</v>
      </c>
    </row>
    <row r="46" spans="1:27" x14ac:dyDescent="0.2">
      <c r="A46" s="3">
        <v>41426</v>
      </c>
      <c r="B46" s="4">
        <v>12894.9781</v>
      </c>
      <c r="C46" s="4">
        <v>1436.451</v>
      </c>
      <c r="D46" s="4">
        <v>147.80860000000001</v>
      </c>
      <c r="E46" s="4">
        <v>1288.6424</v>
      </c>
      <c r="F46" s="5">
        <v>4864.9740000000002</v>
      </c>
      <c r="G46" s="4">
        <v>163.82310000000001</v>
      </c>
      <c r="H46" s="4">
        <v>4701.1508999999996</v>
      </c>
      <c r="I46" s="4">
        <v>-18.909300000000002</v>
      </c>
      <c r="J46" s="5">
        <v>28.5425</v>
      </c>
      <c r="K46" s="4">
        <v>0.53639999999999999</v>
      </c>
      <c r="L46" s="4">
        <v>28.0061</v>
      </c>
      <c r="M46" s="4">
        <v>5568.0519000000004</v>
      </c>
      <c r="N46" s="4">
        <v>4127.2016999999996</v>
      </c>
      <c r="O46" s="4">
        <v>23.307400000000001</v>
      </c>
      <c r="P46" s="4">
        <v>1417.5427999999999</v>
      </c>
      <c r="Q46" s="4">
        <v>1015.8680000000001</v>
      </c>
      <c r="R46" s="4">
        <v>16.203900000000001</v>
      </c>
      <c r="S46" s="4">
        <v>12878.7742</v>
      </c>
      <c r="T46" s="4">
        <v>0</v>
      </c>
      <c r="U46" s="4">
        <v>0</v>
      </c>
      <c r="V46" s="4">
        <v>346.76729999999998</v>
      </c>
      <c r="W46" s="4">
        <v>284.0027</v>
      </c>
      <c r="X46" s="4">
        <v>62.764600000000002</v>
      </c>
      <c r="Y46" s="4">
        <v>12260.238499999999</v>
      </c>
      <c r="Z46" s="4">
        <v>12260.238499999999</v>
      </c>
      <c r="AA46" s="4">
        <v>271.76839999999999</v>
      </c>
    </row>
    <row r="47" spans="1:27" x14ac:dyDescent="0.2">
      <c r="A47" s="3">
        <v>41518</v>
      </c>
      <c r="B47" s="4">
        <v>12976.671399999999</v>
      </c>
      <c r="C47" s="4">
        <v>1515.0362</v>
      </c>
      <c r="D47" s="4">
        <v>146.4907</v>
      </c>
      <c r="E47" s="4">
        <v>1368.5454999999999</v>
      </c>
      <c r="F47" s="5">
        <v>4928.9884000000002</v>
      </c>
      <c r="G47" s="4">
        <v>133.87690000000001</v>
      </c>
      <c r="H47" s="4">
        <v>4795.1115</v>
      </c>
      <c r="I47" s="4">
        <v>-17.112500000000001</v>
      </c>
      <c r="J47" s="5">
        <v>33.641500000000001</v>
      </c>
      <c r="K47" s="4">
        <v>0.71250000000000002</v>
      </c>
      <c r="L47" s="4">
        <v>32.929000000000002</v>
      </c>
      <c r="M47" s="4">
        <v>5403.3550999999998</v>
      </c>
      <c r="N47" s="4">
        <v>3830.1696999999999</v>
      </c>
      <c r="O47" s="4">
        <v>11.441800000000001</v>
      </c>
      <c r="P47" s="4">
        <v>1561.7436</v>
      </c>
      <c r="Q47" s="4">
        <v>1112.7628</v>
      </c>
      <c r="R47" s="4">
        <v>7.5208000000000004</v>
      </c>
      <c r="S47" s="4">
        <v>12969.150600000001</v>
      </c>
      <c r="T47" s="4">
        <v>0</v>
      </c>
      <c r="U47" s="4">
        <v>0</v>
      </c>
      <c r="V47" s="4">
        <v>361.71629999999999</v>
      </c>
      <c r="W47" s="4">
        <v>299.2072</v>
      </c>
      <c r="X47" s="4">
        <v>62.5092</v>
      </c>
      <c r="Y47" s="4">
        <v>12373.969499999999</v>
      </c>
      <c r="Z47" s="4">
        <v>12373.969499999999</v>
      </c>
      <c r="AA47" s="4">
        <v>233.4648</v>
      </c>
    </row>
    <row r="48" spans="1:27" x14ac:dyDescent="0.2">
      <c r="A48" s="3">
        <v>41609</v>
      </c>
      <c r="B48" s="4">
        <v>13675.747600000001</v>
      </c>
      <c r="C48" s="4">
        <v>1767.2917</v>
      </c>
      <c r="D48" s="4">
        <v>164.8494</v>
      </c>
      <c r="E48" s="4">
        <v>1602.4422999999999</v>
      </c>
      <c r="F48" s="5">
        <v>5314.9669999999996</v>
      </c>
      <c r="G48" s="4">
        <v>165.006</v>
      </c>
      <c r="H48" s="4">
        <v>5149.9610000000002</v>
      </c>
      <c r="I48" s="4">
        <v>-25.892199999999999</v>
      </c>
      <c r="J48" s="5">
        <v>38.161000000000001</v>
      </c>
      <c r="K48" s="4">
        <v>0.9556</v>
      </c>
      <c r="L48" s="4">
        <v>37.205399999999997</v>
      </c>
      <c r="M48" s="4">
        <v>5533.1406999999999</v>
      </c>
      <c r="N48" s="4">
        <v>3731.9557</v>
      </c>
      <c r="O48" s="4">
        <v>16.878</v>
      </c>
      <c r="P48" s="4">
        <v>1784.3069</v>
      </c>
      <c r="Q48" s="4">
        <v>1048.0793000000001</v>
      </c>
      <c r="R48" s="4">
        <v>53.773200000000003</v>
      </c>
      <c r="S48" s="4">
        <v>13621.9743</v>
      </c>
      <c r="T48" s="4">
        <v>0</v>
      </c>
      <c r="U48" s="4">
        <v>0</v>
      </c>
      <c r="V48" s="4">
        <v>409.20870000000002</v>
      </c>
      <c r="W48" s="4">
        <v>346.52339999999998</v>
      </c>
      <c r="X48" s="4">
        <v>62.685299999999998</v>
      </c>
      <c r="Y48" s="4">
        <v>12969.7441</v>
      </c>
      <c r="Z48" s="4">
        <v>12969.7441</v>
      </c>
      <c r="AA48" s="4">
        <v>243.0215</v>
      </c>
    </row>
    <row r="49" spans="1:27" x14ac:dyDescent="0.2">
      <c r="A49" s="3">
        <v>41699</v>
      </c>
      <c r="B49" s="4">
        <v>15798.6684</v>
      </c>
      <c r="C49" s="4">
        <v>2166.1992</v>
      </c>
      <c r="D49" s="4">
        <v>158.63849999999999</v>
      </c>
      <c r="E49" s="4">
        <v>2007.5607</v>
      </c>
      <c r="F49" s="5">
        <v>6566.5947999999999</v>
      </c>
      <c r="G49" s="4">
        <v>206.98140000000001</v>
      </c>
      <c r="H49" s="4">
        <v>6359.6134000000002</v>
      </c>
      <c r="I49" s="4">
        <v>5.4455999999999998</v>
      </c>
      <c r="J49" s="5">
        <v>45.428199999999997</v>
      </c>
      <c r="K49" s="4">
        <v>2.0609000000000002</v>
      </c>
      <c r="L49" s="4">
        <v>43.3673</v>
      </c>
      <c r="M49" s="4">
        <v>5832.1485000000002</v>
      </c>
      <c r="N49" s="4">
        <v>3677.4414000000002</v>
      </c>
      <c r="O49" s="4">
        <v>29.475100000000001</v>
      </c>
      <c r="P49" s="4">
        <v>2125.2319000000002</v>
      </c>
      <c r="Q49" s="4">
        <v>1182.8520000000001</v>
      </c>
      <c r="R49" s="4">
        <v>48.392499999999998</v>
      </c>
      <c r="S49" s="4">
        <v>15750.275900000001</v>
      </c>
      <c r="T49" s="4">
        <v>0</v>
      </c>
      <c r="U49" s="4">
        <v>0</v>
      </c>
      <c r="V49" s="4">
        <v>395.95499999999998</v>
      </c>
      <c r="W49" s="4">
        <v>322.27050000000003</v>
      </c>
      <c r="X49" s="4">
        <v>73.6845</v>
      </c>
      <c r="Y49" s="4">
        <v>15097.2148</v>
      </c>
      <c r="Z49" s="4">
        <v>15097.2148</v>
      </c>
      <c r="AA49" s="4">
        <v>257.1062</v>
      </c>
    </row>
    <row r="50" spans="1:27" x14ac:dyDescent="0.2">
      <c r="A50" s="3">
        <v>41791</v>
      </c>
      <c r="B50" s="4">
        <v>18286.189699999999</v>
      </c>
      <c r="C50" s="4">
        <v>2796.4346999999998</v>
      </c>
      <c r="D50" s="4">
        <v>191.30549999999999</v>
      </c>
      <c r="E50" s="4">
        <v>2605.1291999999999</v>
      </c>
      <c r="F50" s="5">
        <v>8292.8201000000008</v>
      </c>
      <c r="G50" s="4">
        <v>241.73779999999999</v>
      </c>
      <c r="H50" s="4">
        <v>8051.0821999999998</v>
      </c>
      <c r="I50" s="4">
        <v>7.7434000000000003</v>
      </c>
      <c r="J50" s="5">
        <v>49.585500000000003</v>
      </c>
      <c r="K50" s="4">
        <v>0.89500000000000002</v>
      </c>
      <c r="L50" s="4">
        <v>48.6905</v>
      </c>
      <c r="M50" s="4">
        <v>6057.2327999999998</v>
      </c>
      <c r="N50" s="4">
        <v>3762.4985000000001</v>
      </c>
      <c r="O50" s="4">
        <v>15.2468</v>
      </c>
      <c r="P50" s="4">
        <v>2279.4875000000002</v>
      </c>
      <c r="Q50" s="4">
        <v>1082.3732</v>
      </c>
      <c r="R50" s="4">
        <v>11.843999999999999</v>
      </c>
      <c r="S50" s="4">
        <v>18274.345700000002</v>
      </c>
      <c r="T50" s="4">
        <v>0</v>
      </c>
      <c r="U50" s="4">
        <v>0</v>
      </c>
      <c r="V50" s="4">
        <v>438.49419999999998</v>
      </c>
      <c r="W50" s="4">
        <v>353.49130000000002</v>
      </c>
      <c r="X50" s="4">
        <v>85.002899999999997</v>
      </c>
      <c r="Y50" s="4">
        <v>17574.7929</v>
      </c>
      <c r="Z50" s="4">
        <v>17574.7929</v>
      </c>
      <c r="AA50" s="4">
        <v>261.05869999999999</v>
      </c>
    </row>
    <row r="51" spans="1:27" x14ac:dyDescent="0.2">
      <c r="A51" s="3">
        <v>41883</v>
      </c>
      <c r="B51" s="4">
        <v>19860.230299999999</v>
      </c>
      <c r="C51" s="4">
        <v>3253.8571000000002</v>
      </c>
      <c r="D51" s="4">
        <v>177.75530000000001</v>
      </c>
      <c r="E51" s="4">
        <v>3076.1017999999999</v>
      </c>
      <c r="F51" s="5">
        <v>8820.1409000000003</v>
      </c>
      <c r="G51" s="4">
        <v>171.3193</v>
      </c>
      <c r="H51" s="4">
        <v>8648.8215999999993</v>
      </c>
      <c r="I51" s="4">
        <v>-5.4215999999999998</v>
      </c>
      <c r="J51" s="5">
        <v>55.286000000000001</v>
      </c>
      <c r="K51" s="4">
        <v>3.7044999999999999</v>
      </c>
      <c r="L51" s="4">
        <v>51.581499999999998</v>
      </c>
      <c r="M51" s="4">
        <v>6468.5</v>
      </c>
      <c r="N51" s="4">
        <v>3843.3663000000001</v>
      </c>
      <c r="O51" s="4">
        <v>23.684100000000001</v>
      </c>
      <c r="P51" s="4">
        <v>2601.4495999999999</v>
      </c>
      <c r="Q51" s="4">
        <v>1267.8679</v>
      </c>
      <c r="R51" s="4">
        <v>21.505500000000001</v>
      </c>
      <c r="S51" s="4">
        <v>19838.7248</v>
      </c>
      <c r="T51" s="4">
        <v>0</v>
      </c>
      <c r="U51" s="4">
        <v>0</v>
      </c>
      <c r="V51" s="4">
        <v>427.16250000000002</v>
      </c>
      <c r="W51" s="4">
        <v>343.09820000000002</v>
      </c>
      <c r="X51" s="4">
        <v>84.064400000000006</v>
      </c>
      <c r="Y51" s="4">
        <v>19114.1826</v>
      </c>
      <c r="Z51" s="4">
        <v>19114.1826</v>
      </c>
      <c r="AA51" s="4">
        <v>297.37970000000001</v>
      </c>
    </row>
    <row r="52" spans="1:27" x14ac:dyDescent="0.2">
      <c r="A52" s="3">
        <v>41974</v>
      </c>
      <c r="B52" s="4">
        <v>19214.026300000001</v>
      </c>
      <c r="C52" s="4">
        <v>3260.0097999999998</v>
      </c>
      <c r="D52" s="4">
        <v>207.93180000000001</v>
      </c>
      <c r="E52" s="4">
        <v>3052.078</v>
      </c>
      <c r="F52" s="5">
        <v>8065.6418999999996</v>
      </c>
      <c r="G52" s="4">
        <v>134.6995</v>
      </c>
      <c r="H52" s="4">
        <v>7930.9423999999999</v>
      </c>
      <c r="I52" s="4">
        <v>-2.1503999999999999</v>
      </c>
      <c r="J52" s="5">
        <v>65.829599999999999</v>
      </c>
      <c r="K52" s="4">
        <v>7.5389999999999997</v>
      </c>
      <c r="L52" s="4">
        <v>58.290599999999998</v>
      </c>
      <c r="M52" s="4">
        <v>6587.7866000000004</v>
      </c>
      <c r="N52" s="4">
        <v>3846.6089000000002</v>
      </c>
      <c r="O52" s="4">
        <v>13.2187</v>
      </c>
      <c r="P52" s="4">
        <v>2727.9589999999998</v>
      </c>
      <c r="Q52" s="4">
        <v>1236.9087999999999</v>
      </c>
      <c r="R52" s="4">
        <v>55.202100000000002</v>
      </c>
      <c r="S52" s="4">
        <v>19158.824199999999</v>
      </c>
      <c r="T52" s="4">
        <v>0</v>
      </c>
      <c r="U52" s="4">
        <v>0</v>
      </c>
      <c r="V52" s="4">
        <v>409.6671</v>
      </c>
      <c r="W52" s="4">
        <v>327.06529999999998</v>
      </c>
      <c r="X52" s="4">
        <v>82.601799999999997</v>
      </c>
      <c r="Y52" s="4">
        <v>18440.909299999999</v>
      </c>
      <c r="Z52" s="4">
        <v>18440.909299999999</v>
      </c>
      <c r="AA52" s="4">
        <v>308.24779999999998</v>
      </c>
    </row>
    <row r="53" spans="1:27" x14ac:dyDescent="0.2">
      <c r="A53" s="3">
        <v>42064</v>
      </c>
      <c r="B53" s="4">
        <v>21831.793900000001</v>
      </c>
      <c r="C53" s="4">
        <v>3541.2431999999999</v>
      </c>
      <c r="D53" s="4">
        <v>246.66139999999999</v>
      </c>
      <c r="E53" s="4">
        <v>3294.5817999999999</v>
      </c>
      <c r="F53" s="5">
        <v>9646.4557999999997</v>
      </c>
      <c r="G53" s="4">
        <v>221.6413</v>
      </c>
      <c r="H53" s="4">
        <v>9424.8145000000004</v>
      </c>
      <c r="I53" s="4">
        <v>-16.835699999999999</v>
      </c>
      <c r="J53" s="5">
        <v>151.1977</v>
      </c>
      <c r="K53" s="4">
        <v>87.736400000000003</v>
      </c>
      <c r="L53" s="4">
        <v>63.461399999999998</v>
      </c>
      <c r="M53" s="4">
        <v>7221.7359999999999</v>
      </c>
      <c r="N53" s="4">
        <v>3917.9721</v>
      </c>
      <c r="O53" s="4">
        <v>23.916699999999999</v>
      </c>
      <c r="P53" s="4">
        <v>3279.8472000000002</v>
      </c>
      <c r="Q53" s="4">
        <v>1287.9969000000001</v>
      </c>
      <c r="R53" s="4">
        <v>-174.03919999999999</v>
      </c>
      <c r="S53" s="4">
        <v>22005.8331</v>
      </c>
      <c r="T53" s="4">
        <v>0</v>
      </c>
      <c r="U53" s="4">
        <v>0</v>
      </c>
      <c r="V53" s="4">
        <v>487.61200000000002</v>
      </c>
      <c r="W53" s="4">
        <v>331.8777</v>
      </c>
      <c r="X53" s="4">
        <v>155.73429999999999</v>
      </c>
      <c r="Y53" s="4">
        <v>21166.456099999999</v>
      </c>
      <c r="Z53" s="4">
        <v>21166.456099999999</v>
      </c>
      <c r="AA53" s="4">
        <v>351.76499999999999</v>
      </c>
    </row>
    <row r="54" spans="1:27" x14ac:dyDescent="0.2">
      <c r="A54" s="3">
        <v>42156</v>
      </c>
      <c r="B54" s="4">
        <v>22427.2235</v>
      </c>
      <c r="C54" s="4">
        <v>3139.8395</v>
      </c>
      <c r="D54" s="4">
        <v>241.30330000000001</v>
      </c>
      <c r="E54" s="4">
        <v>2898.5362</v>
      </c>
      <c r="F54" s="5">
        <v>9954</v>
      </c>
      <c r="G54" s="4">
        <v>186.28469999999999</v>
      </c>
      <c r="H54" s="4">
        <v>9767.7152999999998</v>
      </c>
      <c r="I54" s="4">
        <v>-15.209</v>
      </c>
      <c r="J54" s="5">
        <v>167.69110000000001</v>
      </c>
      <c r="K54" s="4">
        <v>99.878200000000007</v>
      </c>
      <c r="L54" s="4">
        <v>67.812899999999999</v>
      </c>
      <c r="M54" s="4">
        <v>7801.9305999999997</v>
      </c>
      <c r="N54" s="4">
        <v>3909.4105</v>
      </c>
      <c r="O54" s="4">
        <v>28.6128</v>
      </c>
      <c r="P54" s="4">
        <v>3863.9074000000001</v>
      </c>
      <c r="Q54" s="4">
        <v>1378.9712999999999</v>
      </c>
      <c r="R54" s="4">
        <v>-12.167</v>
      </c>
      <c r="S54" s="4">
        <v>22439.390500000001</v>
      </c>
      <c r="T54" s="4">
        <v>0</v>
      </c>
      <c r="U54" s="4">
        <v>0</v>
      </c>
      <c r="V54" s="4">
        <v>409.98919999999998</v>
      </c>
      <c r="W54" s="4">
        <v>264.7355</v>
      </c>
      <c r="X54" s="4">
        <v>145.25380000000001</v>
      </c>
      <c r="Y54" s="4">
        <v>21657.2461</v>
      </c>
      <c r="Z54" s="4">
        <v>21657.2461</v>
      </c>
      <c r="AA54" s="4">
        <v>372.1551</v>
      </c>
    </row>
    <row r="55" spans="1:27" x14ac:dyDescent="0.2">
      <c r="A55" s="3">
        <v>42248</v>
      </c>
      <c r="B55" s="4">
        <v>23699.179700000001</v>
      </c>
      <c r="C55" s="4">
        <v>3530.1298000000002</v>
      </c>
      <c r="D55" s="4">
        <v>297.6302</v>
      </c>
      <c r="E55" s="4">
        <v>3232.4996000000001</v>
      </c>
      <c r="F55" s="5">
        <v>10590.513199999999</v>
      </c>
      <c r="G55" s="4">
        <v>133.6688</v>
      </c>
      <c r="H55" s="4">
        <v>10456.8444</v>
      </c>
      <c r="I55" s="4">
        <v>-79.231800000000007</v>
      </c>
      <c r="J55" s="5">
        <v>194.20689999999999</v>
      </c>
      <c r="K55" s="4">
        <v>120.696</v>
      </c>
      <c r="L55" s="4">
        <v>73.510999999999996</v>
      </c>
      <c r="M55" s="4">
        <v>8044.3649999999998</v>
      </c>
      <c r="N55" s="4">
        <v>3908.7440999999999</v>
      </c>
      <c r="O55" s="4">
        <v>29.043900000000001</v>
      </c>
      <c r="P55" s="4">
        <v>4106.5771000000004</v>
      </c>
      <c r="Q55" s="4">
        <v>1419.1966</v>
      </c>
      <c r="R55" s="4">
        <v>38.018099999999997</v>
      </c>
      <c r="S55" s="4">
        <v>23661.161599999999</v>
      </c>
      <c r="T55" s="4">
        <v>0</v>
      </c>
      <c r="U55" s="4">
        <v>0</v>
      </c>
      <c r="V55" s="4">
        <v>467.49900000000002</v>
      </c>
      <c r="W55" s="4">
        <v>324.34219999999999</v>
      </c>
      <c r="X55" s="4">
        <v>143.1568</v>
      </c>
      <c r="Y55" s="4">
        <v>22801.623200000002</v>
      </c>
      <c r="Z55" s="4">
        <v>22801.623200000002</v>
      </c>
      <c r="AA55" s="4">
        <v>392.0394</v>
      </c>
    </row>
    <row r="56" spans="1:27" x14ac:dyDescent="0.2">
      <c r="A56" s="3">
        <v>42339</v>
      </c>
      <c r="B56" s="4">
        <v>22656.631099999999</v>
      </c>
      <c r="C56" s="4">
        <v>2468.1770999999999</v>
      </c>
      <c r="D56" s="4">
        <v>334.96749999999997</v>
      </c>
      <c r="E56" s="4">
        <v>2133.2096000000001</v>
      </c>
      <c r="F56" s="5">
        <v>9544.3763999999992</v>
      </c>
      <c r="G56" s="4">
        <v>62.252899999999997</v>
      </c>
      <c r="H56" s="4">
        <v>9482.1234999999997</v>
      </c>
      <c r="I56" s="4">
        <v>-70.466700000000003</v>
      </c>
      <c r="J56" s="5">
        <v>180.4254</v>
      </c>
      <c r="K56" s="4">
        <v>101.41200000000001</v>
      </c>
      <c r="L56" s="4">
        <v>79.013400000000004</v>
      </c>
      <c r="M56" s="4">
        <v>8822.8981000000003</v>
      </c>
      <c r="N56" s="4">
        <v>4073.6833999999999</v>
      </c>
      <c r="O56" s="4">
        <v>21.046900000000001</v>
      </c>
      <c r="P56" s="4">
        <v>4728.1678000000002</v>
      </c>
      <c r="Q56" s="4">
        <v>1711.2209</v>
      </c>
      <c r="R56" s="4">
        <v>41.0871</v>
      </c>
      <c r="S56" s="4">
        <v>22615.543900000001</v>
      </c>
      <c r="T56" s="4">
        <v>0</v>
      </c>
      <c r="U56" s="4">
        <v>0</v>
      </c>
      <c r="V56" s="4">
        <v>601.45460000000003</v>
      </c>
      <c r="W56" s="4">
        <v>321.69580000000002</v>
      </c>
      <c r="X56" s="4">
        <v>279.75880000000001</v>
      </c>
      <c r="Y56" s="4">
        <v>21660.092799999999</v>
      </c>
      <c r="Z56" s="4">
        <v>21660.092799999999</v>
      </c>
      <c r="AA56" s="4">
        <v>353.99650000000003</v>
      </c>
    </row>
    <row r="57" spans="1:27" x14ac:dyDescent="0.2">
      <c r="A57" s="3">
        <v>42430</v>
      </c>
      <c r="B57" s="4">
        <v>23401.323499999999</v>
      </c>
      <c r="C57" s="4">
        <v>2431.0511999999999</v>
      </c>
      <c r="D57" s="4">
        <v>283.80630000000002</v>
      </c>
      <c r="E57" s="4">
        <v>2147.2449000000001</v>
      </c>
      <c r="F57" s="5">
        <v>10570.4956</v>
      </c>
      <c r="G57" s="4">
        <v>129.6669</v>
      </c>
      <c r="H57" s="4">
        <v>10440.8287</v>
      </c>
      <c r="I57" s="4">
        <v>-37.8142</v>
      </c>
      <c r="J57" s="5">
        <v>183.08359999999999</v>
      </c>
      <c r="K57" s="4">
        <v>98.901700000000005</v>
      </c>
      <c r="L57" s="4">
        <v>84.181799999999996</v>
      </c>
      <c r="M57" s="4">
        <v>8547.7199999999993</v>
      </c>
      <c r="N57" s="4">
        <v>4230.6181999999999</v>
      </c>
      <c r="O57" s="4">
        <v>26.918500000000002</v>
      </c>
      <c r="P57" s="4">
        <v>4290.1832999999997</v>
      </c>
      <c r="Q57" s="4">
        <v>1706.7873</v>
      </c>
      <c r="R57" s="4">
        <v>37.811999999999998</v>
      </c>
      <c r="S57" s="4">
        <v>23363.511500000001</v>
      </c>
      <c r="T57" s="4">
        <v>0</v>
      </c>
      <c r="U57" s="4">
        <v>0</v>
      </c>
      <c r="V57" s="4">
        <v>573.71510000000001</v>
      </c>
      <c r="W57" s="4">
        <v>301.84339999999997</v>
      </c>
      <c r="X57" s="4">
        <v>271.87169999999998</v>
      </c>
      <c r="Y57" s="4">
        <v>22442.053100000001</v>
      </c>
      <c r="Z57" s="4">
        <v>22442.053100000001</v>
      </c>
      <c r="AA57" s="4">
        <v>347.74340000000001</v>
      </c>
    </row>
    <row r="58" spans="1:27" x14ac:dyDescent="0.2">
      <c r="A58" s="3">
        <v>42522</v>
      </c>
      <c r="B58" s="4">
        <v>24949.939299999998</v>
      </c>
      <c r="C58" s="4">
        <v>2939.3136</v>
      </c>
      <c r="D58" s="4">
        <v>280.37360000000001</v>
      </c>
      <c r="E58" s="4">
        <v>2658.94</v>
      </c>
      <c r="F58" s="5">
        <v>11527.36</v>
      </c>
      <c r="G58" s="4">
        <v>154.5334</v>
      </c>
      <c r="H58" s="4">
        <v>11372.8266</v>
      </c>
      <c r="I58" s="4">
        <v>-20.827999999999999</v>
      </c>
      <c r="J58" s="5">
        <v>219.99590000000001</v>
      </c>
      <c r="K58" s="4">
        <v>130.17689999999999</v>
      </c>
      <c r="L58" s="4">
        <v>89.819000000000003</v>
      </c>
      <c r="M58" s="4">
        <v>8386.8760000000002</v>
      </c>
      <c r="N58" s="4">
        <v>4104.7264999999998</v>
      </c>
      <c r="O58" s="4">
        <v>28.662199999999999</v>
      </c>
      <c r="P58" s="4">
        <v>4253.4872999999998</v>
      </c>
      <c r="Q58" s="4">
        <v>1897.2218</v>
      </c>
      <c r="R58" s="4">
        <v>-14.1418</v>
      </c>
      <c r="S58" s="4">
        <v>24964.081099999999</v>
      </c>
      <c r="T58" s="4">
        <v>0</v>
      </c>
      <c r="U58" s="4">
        <v>0</v>
      </c>
      <c r="V58" s="4">
        <v>599.34010000000001</v>
      </c>
      <c r="W58" s="4">
        <v>324.28730000000002</v>
      </c>
      <c r="X58" s="4">
        <v>275.05290000000002</v>
      </c>
      <c r="Y58" s="4">
        <v>23982.379199999999</v>
      </c>
      <c r="Z58" s="4">
        <v>23982.379199999999</v>
      </c>
      <c r="AA58" s="4">
        <v>382.36180000000002</v>
      </c>
    </row>
    <row r="59" spans="1:27" x14ac:dyDescent="0.2">
      <c r="A59" s="3">
        <v>42614</v>
      </c>
      <c r="B59" s="4">
        <v>28661.052</v>
      </c>
      <c r="C59" s="4">
        <v>3130.7510000000002</v>
      </c>
      <c r="D59" s="4">
        <v>276.1628</v>
      </c>
      <c r="E59" s="4">
        <v>2854.5882000000001</v>
      </c>
      <c r="F59" s="5">
        <v>13776.980299999999</v>
      </c>
      <c r="G59" s="4">
        <v>176.28579999999999</v>
      </c>
      <c r="H59" s="4">
        <v>13600.6945</v>
      </c>
      <c r="I59" s="4">
        <v>-16.886900000000001</v>
      </c>
      <c r="J59" s="5">
        <v>242.25819999999999</v>
      </c>
      <c r="K59" s="4">
        <v>147.69139999999999</v>
      </c>
      <c r="L59" s="4">
        <v>94.566800000000001</v>
      </c>
      <c r="M59" s="4">
        <v>9626.2528000000002</v>
      </c>
      <c r="N59" s="4">
        <v>4621.8834999999999</v>
      </c>
      <c r="O59" s="4">
        <v>35.147799999999997</v>
      </c>
      <c r="P59" s="4">
        <v>4969.2214999999997</v>
      </c>
      <c r="Q59" s="4">
        <v>1901.6965</v>
      </c>
      <c r="R59" s="4">
        <v>49.057000000000002</v>
      </c>
      <c r="S59" s="4">
        <v>28611.994999999999</v>
      </c>
      <c r="T59" s="4">
        <v>0</v>
      </c>
      <c r="U59" s="4">
        <v>0</v>
      </c>
      <c r="V59" s="4">
        <v>571.86599999999999</v>
      </c>
      <c r="W59" s="4">
        <v>377.7681</v>
      </c>
      <c r="X59" s="4">
        <v>194.09790000000001</v>
      </c>
      <c r="Y59" s="4">
        <v>27656.090199999999</v>
      </c>
      <c r="Z59" s="4">
        <v>27656.090199999999</v>
      </c>
      <c r="AA59" s="4">
        <v>384.03879999999998</v>
      </c>
    </row>
    <row r="60" spans="1:27" x14ac:dyDescent="0.2">
      <c r="A60" s="3">
        <v>42705</v>
      </c>
      <c r="B60" s="4">
        <v>27701.744200000001</v>
      </c>
      <c r="C60" s="4">
        <v>2653.5257999999999</v>
      </c>
      <c r="D60" s="4">
        <v>323.1703</v>
      </c>
      <c r="E60" s="4">
        <v>2330.3555000000001</v>
      </c>
      <c r="F60" s="5">
        <v>13082.8266</v>
      </c>
      <c r="G60" s="4">
        <v>232.55170000000001</v>
      </c>
      <c r="H60" s="4">
        <v>12850.2749</v>
      </c>
      <c r="I60" s="4">
        <v>1.8260000000000001</v>
      </c>
      <c r="J60" s="5">
        <v>234.489</v>
      </c>
      <c r="K60" s="4">
        <v>134.5668</v>
      </c>
      <c r="L60" s="4">
        <v>99.922300000000007</v>
      </c>
      <c r="M60" s="4">
        <v>9594.3685000000005</v>
      </c>
      <c r="N60" s="4">
        <v>4661.1889000000001</v>
      </c>
      <c r="O60" s="4">
        <v>26.2637</v>
      </c>
      <c r="P60" s="4">
        <v>4906.9159</v>
      </c>
      <c r="Q60" s="4">
        <v>2134.7082999999998</v>
      </c>
      <c r="R60" s="4">
        <v>100.7325</v>
      </c>
      <c r="S60" s="4">
        <v>27601.011699999999</v>
      </c>
      <c r="T60" s="4">
        <v>53.153100000000002</v>
      </c>
      <c r="U60" s="4">
        <v>53.153100000000002</v>
      </c>
      <c r="V60" s="4">
        <v>456.05560000000003</v>
      </c>
      <c r="W60" s="4">
        <v>313.41579999999999</v>
      </c>
      <c r="X60" s="4">
        <v>142.63980000000001</v>
      </c>
      <c r="Y60" s="4">
        <v>26709.384999999998</v>
      </c>
      <c r="Z60" s="4">
        <v>26709.384999999998</v>
      </c>
      <c r="AA60" s="4">
        <v>382.41800000000001</v>
      </c>
    </row>
    <row r="61" spans="1:27" x14ac:dyDescent="0.2">
      <c r="A61" s="3">
        <v>42795</v>
      </c>
      <c r="B61" s="4">
        <v>30651.615699999998</v>
      </c>
      <c r="C61" s="4">
        <v>2822.5574999999999</v>
      </c>
      <c r="D61" s="4">
        <v>352.1377</v>
      </c>
      <c r="E61" s="4">
        <v>2470.4198000000001</v>
      </c>
      <c r="F61" s="5">
        <v>14575.981100000001</v>
      </c>
      <c r="G61" s="4">
        <v>305.75170000000003</v>
      </c>
      <c r="H61" s="4">
        <v>14270.2294</v>
      </c>
      <c r="I61" s="4">
        <v>25.858499999999999</v>
      </c>
      <c r="J61" s="5">
        <v>254.96350000000001</v>
      </c>
      <c r="K61" s="4">
        <v>146.5549</v>
      </c>
      <c r="L61" s="4">
        <v>108.40860000000001</v>
      </c>
      <c r="M61" s="4">
        <v>10771.903700000001</v>
      </c>
      <c r="N61" s="4">
        <v>5419.2542000000003</v>
      </c>
      <c r="O61" s="4">
        <v>45.2592</v>
      </c>
      <c r="P61" s="4">
        <v>5307.3903</v>
      </c>
      <c r="Q61" s="4">
        <v>2200.3514</v>
      </c>
      <c r="R61" s="4">
        <v>82.584599999999995</v>
      </c>
      <c r="S61" s="4">
        <v>30569.0311</v>
      </c>
      <c r="T61" s="4">
        <v>54.277500000000003</v>
      </c>
      <c r="U61" s="4">
        <v>54.277500000000003</v>
      </c>
      <c r="V61" s="4">
        <v>392.9579</v>
      </c>
      <c r="W61" s="4">
        <v>248.4434</v>
      </c>
      <c r="X61" s="4">
        <v>144.5145</v>
      </c>
      <c r="Y61" s="4">
        <v>29718.9732</v>
      </c>
      <c r="Z61" s="4">
        <v>29718.9732</v>
      </c>
      <c r="AA61" s="4">
        <v>402.82249999999999</v>
      </c>
    </row>
    <row r="62" spans="1:27" x14ac:dyDescent="0.2">
      <c r="A62" s="3">
        <v>42887</v>
      </c>
      <c r="B62" s="4">
        <v>32863.025699999998</v>
      </c>
      <c r="C62" s="4">
        <v>2857.3566999999998</v>
      </c>
      <c r="D62" s="4">
        <v>542.9325</v>
      </c>
      <c r="E62" s="4">
        <v>2314.4241999999999</v>
      </c>
      <c r="F62" s="5">
        <v>15358.839099999999</v>
      </c>
      <c r="G62" s="4">
        <v>309.33530000000002</v>
      </c>
      <c r="H62" s="4">
        <v>15049.5038</v>
      </c>
      <c r="I62" s="4">
        <v>11.377800000000001</v>
      </c>
      <c r="J62" s="5">
        <v>259.0052</v>
      </c>
      <c r="K62" s="4">
        <v>139.65100000000001</v>
      </c>
      <c r="L62" s="4">
        <v>119.35420000000001</v>
      </c>
      <c r="M62" s="4">
        <v>12135.6127</v>
      </c>
      <c r="N62" s="4">
        <v>6029.8581999999997</v>
      </c>
      <c r="O62" s="4">
        <v>34.979199999999999</v>
      </c>
      <c r="P62" s="4">
        <v>6070.7754000000004</v>
      </c>
      <c r="Q62" s="4">
        <v>2240.8341</v>
      </c>
      <c r="R62" s="4">
        <v>25.644200000000001</v>
      </c>
      <c r="S62" s="4">
        <v>32837.381500000003</v>
      </c>
      <c r="T62" s="4">
        <v>54.6126</v>
      </c>
      <c r="U62" s="4">
        <v>54.6126</v>
      </c>
      <c r="V62" s="4">
        <v>368.04919999999998</v>
      </c>
      <c r="W62" s="4">
        <v>225.33170000000001</v>
      </c>
      <c r="X62" s="4">
        <v>142.7175</v>
      </c>
      <c r="Y62" s="4">
        <v>31951.017500000002</v>
      </c>
      <c r="Z62" s="4">
        <v>31951.017500000002</v>
      </c>
      <c r="AA62" s="4">
        <v>463.7022</v>
      </c>
    </row>
    <row r="63" spans="1:27" x14ac:dyDescent="0.2">
      <c r="A63" s="3">
        <v>42979</v>
      </c>
      <c r="B63" s="4">
        <v>33830.607199999999</v>
      </c>
      <c r="C63" s="4">
        <v>2108.8751000000002</v>
      </c>
      <c r="D63" s="4">
        <v>470.4427</v>
      </c>
      <c r="E63" s="4">
        <v>1638.4323999999999</v>
      </c>
      <c r="F63" s="5">
        <v>15203.525</v>
      </c>
      <c r="G63" s="4">
        <v>193.6499</v>
      </c>
      <c r="H63" s="4">
        <v>15009.875</v>
      </c>
      <c r="I63" s="4">
        <v>11.4064</v>
      </c>
      <c r="J63" s="5">
        <v>254.31800000000001</v>
      </c>
      <c r="K63" s="4">
        <v>124.51220000000001</v>
      </c>
      <c r="L63" s="4">
        <v>129.80590000000001</v>
      </c>
      <c r="M63" s="4">
        <v>13829.286</v>
      </c>
      <c r="N63" s="4">
        <v>7147.4462000000003</v>
      </c>
      <c r="O63" s="4">
        <v>36.698300000000003</v>
      </c>
      <c r="P63" s="4">
        <v>6645.1414999999997</v>
      </c>
      <c r="Q63" s="4">
        <v>2423.1966000000002</v>
      </c>
      <c r="R63" s="4">
        <v>34.352400000000003</v>
      </c>
      <c r="S63" s="4">
        <v>33796.254800000002</v>
      </c>
      <c r="T63" s="4">
        <v>54.302999999999997</v>
      </c>
      <c r="U63" s="4">
        <v>54.302999999999997</v>
      </c>
      <c r="V63" s="4">
        <v>311.29520000000002</v>
      </c>
      <c r="W63" s="4">
        <v>177.18020000000001</v>
      </c>
      <c r="X63" s="4">
        <v>134.11500000000001</v>
      </c>
      <c r="Y63" s="4">
        <v>32833.3151</v>
      </c>
      <c r="Z63" s="4">
        <v>32833.3151</v>
      </c>
      <c r="AA63" s="4">
        <v>597.3415</v>
      </c>
    </row>
    <row r="64" spans="1:27" x14ac:dyDescent="0.2">
      <c r="A64" s="3">
        <v>43070</v>
      </c>
      <c r="B64" s="4">
        <v>33404.457799999996</v>
      </c>
      <c r="C64" s="4">
        <v>1757.9956999999999</v>
      </c>
      <c r="D64" s="4">
        <v>361.47210000000001</v>
      </c>
      <c r="E64" s="4">
        <v>1396.5237</v>
      </c>
      <c r="F64" s="5">
        <v>14453.0852</v>
      </c>
      <c r="G64" s="4">
        <v>198.63050000000001</v>
      </c>
      <c r="H64" s="4">
        <v>14254.4547</v>
      </c>
      <c r="I64" s="4">
        <v>58.047199999999997</v>
      </c>
      <c r="J64" s="5">
        <v>330.19260000000003</v>
      </c>
      <c r="K64" s="4">
        <v>192.29589999999999</v>
      </c>
      <c r="L64" s="4">
        <v>137.89660000000001</v>
      </c>
      <c r="M64" s="4">
        <v>14544.035599999999</v>
      </c>
      <c r="N64" s="4">
        <v>8272.0562000000009</v>
      </c>
      <c r="O64" s="4">
        <v>43.737299999999998</v>
      </c>
      <c r="P64" s="4">
        <v>6228.2421000000004</v>
      </c>
      <c r="Q64" s="4">
        <v>2261.1015000000002</v>
      </c>
      <c r="R64" s="4">
        <v>141.42259999999999</v>
      </c>
      <c r="S64" s="4">
        <v>33263.035199999998</v>
      </c>
      <c r="T64" s="4">
        <v>54.1663</v>
      </c>
      <c r="U64" s="4">
        <v>54.1663</v>
      </c>
      <c r="V64" s="4">
        <v>314.04579999999999</v>
      </c>
      <c r="W64" s="4">
        <v>190.94980000000001</v>
      </c>
      <c r="X64" s="4">
        <v>123.096</v>
      </c>
      <c r="Y64" s="4">
        <v>32343.669699999999</v>
      </c>
      <c r="Z64" s="4">
        <v>32343.669699999999</v>
      </c>
      <c r="AA64" s="4">
        <v>551.15340000000003</v>
      </c>
    </row>
    <row r="65" spans="1:27" x14ac:dyDescent="0.2">
      <c r="A65" s="3">
        <v>43160</v>
      </c>
      <c r="B65" s="4">
        <v>34515.2264</v>
      </c>
      <c r="C65" s="4">
        <v>1638.7125000000001</v>
      </c>
      <c r="D65" s="4">
        <v>306.0702</v>
      </c>
      <c r="E65" s="4">
        <v>1332.6423</v>
      </c>
      <c r="F65" s="5">
        <v>14680.0911</v>
      </c>
      <c r="G65" s="4">
        <v>401.67959999999999</v>
      </c>
      <c r="H65" s="4">
        <v>14278.411400000001</v>
      </c>
      <c r="I65" s="4">
        <v>81.2239</v>
      </c>
      <c r="J65" s="5">
        <v>351.19200000000001</v>
      </c>
      <c r="K65" s="4">
        <v>201.50110000000001</v>
      </c>
      <c r="L65" s="4">
        <v>149.6909</v>
      </c>
      <c r="M65" s="4">
        <v>15069.4715</v>
      </c>
      <c r="N65" s="4">
        <v>8236.8812999999991</v>
      </c>
      <c r="O65" s="4">
        <v>62.863500000000002</v>
      </c>
      <c r="P65" s="4">
        <v>6769.7267000000002</v>
      </c>
      <c r="Q65" s="4">
        <v>2694.5355</v>
      </c>
      <c r="R65" s="4">
        <v>97.601699999999994</v>
      </c>
      <c r="S65" s="4">
        <v>34417.624600000003</v>
      </c>
      <c r="T65" s="4">
        <v>55.112000000000002</v>
      </c>
      <c r="U65" s="4">
        <v>55.112000000000002</v>
      </c>
      <c r="V65" s="4">
        <v>209.5992</v>
      </c>
      <c r="W65" s="4">
        <v>89.0398</v>
      </c>
      <c r="X65" s="4">
        <v>120.55929999999999</v>
      </c>
      <c r="Y65" s="4">
        <v>33536.2549</v>
      </c>
      <c r="Z65" s="4">
        <v>33536.2549</v>
      </c>
      <c r="AA65" s="4">
        <v>616.6585</v>
      </c>
    </row>
    <row r="66" spans="1:27" x14ac:dyDescent="0.2">
      <c r="A66" s="3">
        <v>43252</v>
      </c>
      <c r="B66" s="4">
        <v>36315.910300000003</v>
      </c>
      <c r="C66" s="4">
        <v>1793.4009000000001</v>
      </c>
      <c r="D66" s="4">
        <v>375.98379999999997</v>
      </c>
      <c r="E66" s="4">
        <v>1417.4170999999999</v>
      </c>
      <c r="F66" s="5">
        <v>15628.8595</v>
      </c>
      <c r="G66" s="4">
        <v>354.91019999999997</v>
      </c>
      <c r="H66" s="4">
        <v>15273.9493</v>
      </c>
      <c r="I66" s="4">
        <v>45.570999999999998</v>
      </c>
      <c r="J66" s="5">
        <v>422.23149999999998</v>
      </c>
      <c r="K66" s="4">
        <v>258.38139999999999</v>
      </c>
      <c r="L66" s="4">
        <v>163.8501</v>
      </c>
      <c r="M66" s="4">
        <v>15526.669099999999</v>
      </c>
      <c r="N66" s="4">
        <v>8369.6087000000007</v>
      </c>
      <c r="O66" s="4">
        <v>64.453400000000002</v>
      </c>
      <c r="P66" s="4">
        <v>7092.6071000000002</v>
      </c>
      <c r="Q66" s="4">
        <v>2899.1781999999998</v>
      </c>
      <c r="R66" s="4">
        <v>63.319600000000001</v>
      </c>
      <c r="S66" s="4">
        <v>36252.590600000003</v>
      </c>
      <c r="T66" s="4">
        <v>55.993600000000001</v>
      </c>
      <c r="U66" s="4">
        <v>55.993600000000001</v>
      </c>
      <c r="V66" s="4">
        <v>228.6053</v>
      </c>
      <c r="W66" s="4">
        <v>108.67959999999999</v>
      </c>
      <c r="X66" s="4">
        <v>119.92570000000001</v>
      </c>
      <c r="Y66" s="4">
        <v>35255.5792</v>
      </c>
      <c r="Z66" s="4">
        <v>35255.5792</v>
      </c>
      <c r="AA66" s="4">
        <v>712.41250000000002</v>
      </c>
    </row>
    <row r="67" spans="1:27" x14ac:dyDescent="0.2">
      <c r="A67" s="3">
        <v>43344</v>
      </c>
      <c r="B67" s="4">
        <v>38221.1276</v>
      </c>
      <c r="C67" s="4">
        <v>1818.8887999999999</v>
      </c>
      <c r="D67" s="4">
        <v>485.0788</v>
      </c>
      <c r="E67" s="4">
        <v>1333.8099</v>
      </c>
      <c r="F67" s="5">
        <v>16816.771499999999</v>
      </c>
      <c r="G67" s="4">
        <v>498.6062</v>
      </c>
      <c r="H67" s="4">
        <v>16318.165199999999</v>
      </c>
      <c r="I67" s="4">
        <v>51.313499999999998</v>
      </c>
      <c r="J67" s="5">
        <v>488.50650000000002</v>
      </c>
      <c r="K67" s="4">
        <v>307.32249999999999</v>
      </c>
      <c r="L67" s="4">
        <v>181.184</v>
      </c>
      <c r="M67" s="4">
        <v>15936.8609</v>
      </c>
      <c r="N67" s="4">
        <v>8774.0107000000007</v>
      </c>
      <c r="O67" s="4">
        <v>75.779899999999998</v>
      </c>
      <c r="P67" s="4">
        <v>7087.0703000000003</v>
      </c>
      <c r="Q67" s="4">
        <v>3108.7864</v>
      </c>
      <c r="R67" s="4">
        <v>-146.36709999999999</v>
      </c>
      <c r="S67" s="4">
        <v>38367.494700000003</v>
      </c>
      <c r="T67" s="4">
        <v>124.94459999999999</v>
      </c>
      <c r="U67" s="4">
        <v>124.94459999999999</v>
      </c>
      <c r="V67" s="4">
        <v>196.40639999999999</v>
      </c>
      <c r="W67" s="4">
        <v>145.41999999999999</v>
      </c>
      <c r="X67" s="4">
        <v>50.9863</v>
      </c>
      <c r="Y67" s="4">
        <v>37364.669300000001</v>
      </c>
      <c r="Z67" s="4">
        <v>37364.669300000001</v>
      </c>
      <c r="AA67" s="4">
        <v>681.47439999999995</v>
      </c>
    </row>
    <row r="68" spans="1:27" x14ac:dyDescent="0.2">
      <c r="A68" s="3">
        <v>43435</v>
      </c>
      <c r="B68" s="4">
        <v>38479.989300000001</v>
      </c>
      <c r="C68" s="4">
        <v>1718.289</v>
      </c>
      <c r="D68" s="4">
        <v>397.4187</v>
      </c>
      <c r="E68" s="4">
        <v>1320.8703</v>
      </c>
      <c r="F68" s="5">
        <v>16513.758600000001</v>
      </c>
      <c r="G68" s="4">
        <v>386.3005</v>
      </c>
      <c r="H68" s="4">
        <v>16127.458000000001</v>
      </c>
      <c r="I68" s="4">
        <v>-15.521100000000001</v>
      </c>
      <c r="J68" s="5">
        <v>466.92099999999999</v>
      </c>
      <c r="K68" s="4">
        <v>260.80930000000001</v>
      </c>
      <c r="L68" s="4">
        <v>206.11179999999999</v>
      </c>
      <c r="M68" s="4">
        <v>17336.077000000001</v>
      </c>
      <c r="N68" s="4">
        <v>10847.3349</v>
      </c>
      <c r="O68" s="4">
        <v>61.2926</v>
      </c>
      <c r="P68" s="4">
        <v>6427.4494999999997</v>
      </c>
      <c r="Q68" s="4">
        <v>2460.4647</v>
      </c>
      <c r="R68" s="4">
        <v>-83.604600000000005</v>
      </c>
      <c r="S68" s="4">
        <v>38563.5939</v>
      </c>
      <c r="T68" s="4">
        <v>124.7663</v>
      </c>
      <c r="U68" s="4">
        <v>124.7663</v>
      </c>
      <c r="V68" s="4">
        <v>234.6944</v>
      </c>
      <c r="W68" s="4">
        <v>160.6969</v>
      </c>
      <c r="X68" s="4">
        <v>73.997500000000002</v>
      </c>
      <c r="Y68" s="4">
        <v>37485.919399999999</v>
      </c>
      <c r="Z68" s="4">
        <v>37485.919399999999</v>
      </c>
      <c r="AA68" s="4">
        <v>718.21389999999997</v>
      </c>
    </row>
    <row r="69" spans="1:27" x14ac:dyDescent="0.2">
      <c r="A69" s="3">
        <v>43525</v>
      </c>
      <c r="B69" s="4">
        <v>41071.987099999998</v>
      </c>
      <c r="C69" s="4">
        <v>1497.2469000000001</v>
      </c>
      <c r="D69" s="4">
        <v>484.92919999999998</v>
      </c>
      <c r="E69" s="4">
        <v>1012.3176999999999</v>
      </c>
      <c r="F69" s="5">
        <v>18315.572700000001</v>
      </c>
      <c r="G69" s="4">
        <v>480.59859999999998</v>
      </c>
      <c r="H69" s="4">
        <v>17834.974099999999</v>
      </c>
      <c r="I69" s="4">
        <v>-2.5249999999999999</v>
      </c>
      <c r="J69" s="5">
        <v>577.80769999999995</v>
      </c>
      <c r="K69" s="4">
        <v>356.95030000000003</v>
      </c>
      <c r="L69" s="4">
        <v>220.85740000000001</v>
      </c>
      <c r="M69" s="4">
        <v>18130.902699999999</v>
      </c>
      <c r="N69" s="4">
        <v>11058.629800000001</v>
      </c>
      <c r="O69" s="4">
        <v>92.299700000000001</v>
      </c>
      <c r="P69" s="4">
        <v>6979.9732999999997</v>
      </c>
      <c r="Q69" s="4">
        <v>2552.9821000000002</v>
      </c>
      <c r="R69" s="4">
        <v>-164.4323</v>
      </c>
      <c r="S69" s="4">
        <v>41236.419399999999</v>
      </c>
      <c r="T69" s="4">
        <v>169.42949999999999</v>
      </c>
      <c r="U69" s="4">
        <v>169.42949999999999</v>
      </c>
      <c r="V69" s="4">
        <v>295.57130000000001</v>
      </c>
      <c r="W69" s="4">
        <v>224.93989999999999</v>
      </c>
      <c r="X69" s="4">
        <v>70.631399999999999</v>
      </c>
      <c r="Y69" s="4">
        <v>40146.364500000003</v>
      </c>
      <c r="Z69" s="4">
        <v>40146.364500000003</v>
      </c>
      <c r="AA69" s="4">
        <v>625.05409999999995</v>
      </c>
    </row>
    <row r="70" spans="1:27" x14ac:dyDescent="0.2">
      <c r="A70" s="3">
        <v>43617</v>
      </c>
      <c r="B70" s="4">
        <v>45012.420700000002</v>
      </c>
      <c r="C70" s="4">
        <v>1488.2442000000001</v>
      </c>
      <c r="D70" s="4">
        <v>481.90309999999999</v>
      </c>
      <c r="E70" s="4">
        <v>1006.3411</v>
      </c>
      <c r="F70" s="5">
        <v>20619.963899999999</v>
      </c>
      <c r="G70" s="4">
        <v>368.35700000000003</v>
      </c>
      <c r="H70" s="4">
        <v>20251.606899999999</v>
      </c>
      <c r="I70" s="4">
        <v>52.075699999999998</v>
      </c>
      <c r="J70" s="5">
        <v>687.1481</v>
      </c>
      <c r="K70" s="4">
        <v>407.9289</v>
      </c>
      <c r="L70" s="4">
        <v>279.21929999999998</v>
      </c>
      <c r="M70" s="4">
        <v>19509.736099999998</v>
      </c>
      <c r="N70" s="4">
        <v>11563.6296</v>
      </c>
      <c r="O70" s="4">
        <v>87.137500000000003</v>
      </c>
      <c r="P70" s="4">
        <v>7858.9690000000001</v>
      </c>
      <c r="Q70" s="4">
        <v>2655.2525999999998</v>
      </c>
      <c r="R70" s="4">
        <v>50.065800000000003</v>
      </c>
      <c r="S70" s="4">
        <v>44962.354800000001</v>
      </c>
      <c r="T70" s="4">
        <v>174.91589999999999</v>
      </c>
      <c r="U70" s="4">
        <v>174.91589999999999</v>
      </c>
      <c r="V70" s="4">
        <v>295.90859999999998</v>
      </c>
      <c r="W70" s="4">
        <v>235.52250000000001</v>
      </c>
      <c r="X70" s="4">
        <v>60.386200000000002</v>
      </c>
      <c r="Y70" s="4">
        <v>43673.072200000002</v>
      </c>
      <c r="Z70" s="4">
        <v>43673.072200000002</v>
      </c>
      <c r="AA70" s="4">
        <v>818.45809999999994</v>
      </c>
    </row>
    <row r="71" spans="1:27" x14ac:dyDescent="0.2">
      <c r="A71" s="3">
        <v>43709</v>
      </c>
      <c r="B71" s="4">
        <v>48845.584999999999</v>
      </c>
      <c r="C71" s="4">
        <v>2051.3553000000002</v>
      </c>
      <c r="D71" s="4">
        <v>503.762</v>
      </c>
      <c r="E71" s="4">
        <v>1547.5933</v>
      </c>
      <c r="F71" s="5">
        <v>22064.792700000002</v>
      </c>
      <c r="G71" s="4">
        <v>395.1875</v>
      </c>
      <c r="H71" s="4">
        <v>21669.605200000002</v>
      </c>
      <c r="I71" s="4">
        <v>-18.4497</v>
      </c>
      <c r="J71" s="5">
        <v>707.4221</v>
      </c>
      <c r="K71" s="4">
        <v>399.55880000000002</v>
      </c>
      <c r="L71" s="4">
        <v>307.86340000000001</v>
      </c>
      <c r="M71" s="4">
        <v>21097.398300000001</v>
      </c>
      <c r="N71" s="4">
        <v>11839.9048</v>
      </c>
      <c r="O71" s="4">
        <v>106.4066</v>
      </c>
      <c r="P71" s="4">
        <v>9151.0869000000002</v>
      </c>
      <c r="Q71" s="4">
        <v>2943.0663</v>
      </c>
      <c r="R71" s="4">
        <v>38.674599999999998</v>
      </c>
      <c r="S71" s="4">
        <v>48806.910499999998</v>
      </c>
      <c r="T71" s="4">
        <v>178.96610000000001</v>
      </c>
      <c r="U71" s="4">
        <v>178.96610000000001</v>
      </c>
      <c r="V71" s="4">
        <v>206.6893</v>
      </c>
      <c r="W71" s="4">
        <v>148.32339999999999</v>
      </c>
      <c r="X71" s="4">
        <v>58.365900000000003</v>
      </c>
      <c r="Y71" s="4">
        <v>47587.664900000003</v>
      </c>
      <c r="Z71" s="4">
        <v>47587.664900000003</v>
      </c>
      <c r="AA71" s="4">
        <v>833.59019999999998</v>
      </c>
    </row>
    <row r="72" spans="1:27" x14ac:dyDescent="0.2">
      <c r="A72" s="3">
        <v>43800</v>
      </c>
      <c r="B72" s="4">
        <v>44337.111900000004</v>
      </c>
      <c r="C72" s="4">
        <v>1442.0712000000001</v>
      </c>
      <c r="D72" s="4">
        <v>489.30549999999999</v>
      </c>
      <c r="E72" s="4">
        <v>952.76570000000004</v>
      </c>
      <c r="F72" s="5">
        <v>17231.135900000001</v>
      </c>
      <c r="G72" s="4">
        <v>309.18529999999998</v>
      </c>
      <c r="H72" s="4">
        <v>16921.9506</v>
      </c>
      <c r="I72" s="4">
        <v>-46.086399999999998</v>
      </c>
      <c r="J72" s="5">
        <v>815.98739999999998</v>
      </c>
      <c r="K72" s="4">
        <v>452.84710000000001</v>
      </c>
      <c r="L72" s="4">
        <v>363.1404</v>
      </c>
      <c r="M72" s="4">
        <v>21944.483100000001</v>
      </c>
      <c r="N72" s="4">
        <v>11669.9149</v>
      </c>
      <c r="O72" s="4">
        <v>99.657700000000006</v>
      </c>
      <c r="P72" s="4">
        <v>10174.910599999999</v>
      </c>
      <c r="Q72" s="4">
        <v>2949.5207</v>
      </c>
      <c r="R72" s="4">
        <v>182.69319999999999</v>
      </c>
      <c r="S72" s="4">
        <v>44154.418599999997</v>
      </c>
      <c r="T72" s="4">
        <v>195.58420000000001</v>
      </c>
      <c r="U72" s="4">
        <v>195.58420000000001</v>
      </c>
      <c r="V72" s="4">
        <v>276.4794</v>
      </c>
      <c r="W72" s="4">
        <v>247.28829999999999</v>
      </c>
      <c r="X72" s="4">
        <v>29.191199999999998</v>
      </c>
      <c r="Y72" s="4">
        <v>43040.799099999997</v>
      </c>
      <c r="Z72" s="4">
        <v>43040.799099999997</v>
      </c>
      <c r="AA72" s="4">
        <v>641.55589999999995</v>
      </c>
    </row>
    <row r="73" spans="1:27" x14ac:dyDescent="0.2">
      <c r="A73" s="3">
        <v>43891</v>
      </c>
      <c r="B73" s="4">
        <v>39428.077799999999</v>
      </c>
      <c r="C73" s="4">
        <v>1515.7635</v>
      </c>
      <c r="D73" s="4">
        <v>694.77520000000004</v>
      </c>
      <c r="E73" s="4">
        <v>820.98829999999998</v>
      </c>
      <c r="F73" s="5">
        <v>13451.4089</v>
      </c>
      <c r="G73" s="4">
        <v>409.88049999999998</v>
      </c>
      <c r="H73" s="4">
        <v>13041.528399999999</v>
      </c>
      <c r="I73" s="4">
        <v>-391.4701</v>
      </c>
      <c r="J73" s="5">
        <v>921.48839999999996</v>
      </c>
      <c r="K73" s="4">
        <v>520.61500000000001</v>
      </c>
      <c r="L73" s="4">
        <v>400.8734</v>
      </c>
      <c r="M73" s="4">
        <v>20528.9205</v>
      </c>
      <c r="N73" s="4">
        <v>11693.2817</v>
      </c>
      <c r="O73" s="4">
        <v>87.438800000000001</v>
      </c>
      <c r="P73" s="4">
        <v>8748.2000000000007</v>
      </c>
      <c r="Q73" s="4">
        <v>3401.9666000000002</v>
      </c>
      <c r="R73" s="4">
        <v>159.23230000000001</v>
      </c>
      <c r="S73" s="4">
        <v>39268.845500000003</v>
      </c>
      <c r="T73" s="4">
        <v>193.6437</v>
      </c>
      <c r="U73" s="4">
        <v>193.6437</v>
      </c>
      <c r="V73" s="4">
        <v>241.6129</v>
      </c>
      <c r="W73" s="4">
        <v>217.97710000000001</v>
      </c>
      <c r="X73" s="4">
        <v>23.6358</v>
      </c>
      <c r="Y73" s="4">
        <v>38111.772499999999</v>
      </c>
      <c r="Z73" s="4">
        <v>38111.772499999999</v>
      </c>
      <c r="AA73" s="4">
        <v>721.81650000000002</v>
      </c>
    </row>
    <row r="74" spans="1:27" x14ac:dyDescent="0.2">
      <c r="A74" s="3">
        <v>43983</v>
      </c>
      <c r="B74" s="4">
        <v>42232.405299999999</v>
      </c>
      <c r="C74" s="4">
        <v>1349.1305</v>
      </c>
      <c r="D74" s="4">
        <v>455.23349999999999</v>
      </c>
      <c r="E74" s="4">
        <v>893.89689999999996</v>
      </c>
      <c r="F74" s="5">
        <v>15168.6944</v>
      </c>
      <c r="G74" s="4">
        <v>375.9384</v>
      </c>
      <c r="H74" s="4">
        <v>14792.755999999999</v>
      </c>
      <c r="I74" s="4">
        <v>-251.97229999999999</v>
      </c>
      <c r="J74" s="5">
        <v>921.1395</v>
      </c>
      <c r="K74" s="4">
        <v>491.1293</v>
      </c>
      <c r="L74" s="4">
        <v>430.0102</v>
      </c>
      <c r="M74" s="4">
        <v>21813.553899999999</v>
      </c>
      <c r="N74" s="4">
        <v>11762.1268</v>
      </c>
      <c r="O74" s="4">
        <v>92.065399999999997</v>
      </c>
      <c r="P74" s="4">
        <v>9959.3616000000002</v>
      </c>
      <c r="Q74" s="4">
        <v>3231.8593999999998</v>
      </c>
      <c r="R74" s="4">
        <v>66.168499999999995</v>
      </c>
      <c r="S74" s="4">
        <v>42166.236799999999</v>
      </c>
      <c r="T74" s="4">
        <v>196.2586</v>
      </c>
      <c r="U74" s="4">
        <v>196.2586</v>
      </c>
      <c r="V74" s="4">
        <v>233.17580000000001</v>
      </c>
      <c r="W74" s="4">
        <v>204.4639</v>
      </c>
      <c r="X74" s="4">
        <v>28.7118</v>
      </c>
      <c r="Y74" s="4">
        <v>40936.737200000003</v>
      </c>
      <c r="Z74" s="4">
        <v>40936.737200000003</v>
      </c>
      <c r="AA74" s="4">
        <v>800.06529999999998</v>
      </c>
    </row>
    <row r="75" spans="1:27" x14ac:dyDescent="0.2">
      <c r="A75" s="3">
        <v>44075</v>
      </c>
      <c r="B75" s="4">
        <v>44106.2183</v>
      </c>
      <c r="C75" s="4">
        <v>1442.3530000000001</v>
      </c>
      <c r="D75" s="4">
        <v>572.21230000000003</v>
      </c>
      <c r="E75" s="4">
        <v>870.14080000000001</v>
      </c>
      <c r="F75" s="5">
        <v>15424.2484</v>
      </c>
      <c r="G75" s="4">
        <v>614.0566</v>
      </c>
      <c r="H75" s="4">
        <v>14810.191800000001</v>
      </c>
      <c r="I75" s="4">
        <v>-184.58240000000001</v>
      </c>
      <c r="J75" s="5">
        <v>993.54369999999994</v>
      </c>
      <c r="K75" s="4">
        <v>524.71389999999997</v>
      </c>
      <c r="L75" s="4">
        <v>468.82979999999998</v>
      </c>
      <c r="M75" s="4">
        <v>23123.447899999999</v>
      </c>
      <c r="N75" s="4">
        <v>11828.9306</v>
      </c>
      <c r="O75" s="4">
        <v>91.631200000000007</v>
      </c>
      <c r="P75" s="4">
        <v>11202.886</v>
      </c>
      <c r="Q75" s="4">
        <v>3307.2076999999999</v>
      </c>
      <c r="R75" s="4">
        <v>67.988200000000006</v>
      </c>
      <c r="S75" s="4">
        <v>44038.230100000001</v>
      </c>
      <c r="T75" s="4">
        <v>199.94980000000001</v>
      </c>
      <c r="U75" s="4">
        <v>199.94980000000001</v>
      </c>
      <c r="V75" s="4">
        <v>274.15499999999997</v>
      </c>
      <c r="W75" s="4">
        <v>238.2089</v>
      </c>
      <c r="X75" s="4">
        <v>35.946100000000001</v>
      </c>
      <c r="Y75" s="4">
        <v>42776.1345</v>
      </c>
      <c r="Z75" s="4">
        <v>42776.1345</v>
      </c>
      <c r="AA75" s="4">
        <v>787.99080000000004</v>
      </c>
    </row>
    <row r="76" spans="1:27" x14ac:dyDescent="0.2">
      <c r="A76" s="3">
        <v>44166</v>
      </c>
      <c r="B76" s="4">
        <v>46748.387900000002</v>
      </c>
      <c r="C76" s="4">
        <v>1579.6017999999999</v>
      </c>
      <c r="D76" s="4">
        <v>693.41579999999999</v>
      </c>
      <c r="E76" s="4">
        <v>886.18600000000004</v>
      </c>
      <c r="F76" s="5">
        <v>15946.941800000001</v>
      </c>
      <c r="G76" s="4">
        <v>535.24099999999999</v>
      </c>
      <c r="H76" s="4">
        <v>15411.700800000001</v>
      </c>
      <c r="I76" s="4">
        <v>88.744100000000003</v>
      </c>
      <c r="J76" s="5">
        <v>1089.1661999999999</v>
      </c>
      <c r="K76" s="4">
        <v>569.22389999999996</v>
      </c>
      <c r="L76" s="4">
        <v>519.94219999999996</v>
      </c>
      <c r="M76" s="4">
        <v>24880.187999999998</v>
      </c>
      <c r="N76" s="4">
        <v>12042.2538</v>
      </c>
      <c r="O76" s="4">
        <v>73.895600000000002</v>
      </c>
      <c r="P76" s="4">
        <v>12764.0386</v>
      </c>
      <c r="Q76" s="4">
        <v>3163.7460999999998</v>
      </c>
      <c r="R76" s="4">
        <v>115.7467</v>
      </c>
      <c r="S76" s="4">
        <v>46632.641100000001</v>
      </c>
      <c r="T76" s="4">
        <v>203.73849999999999</v>
      </c>
      <c r="U76" s="4">
        <v>203.73849999999999</v>
      </c>
      <c r="V76" s="4">
        <v>204.95519999999999</v>
      </c>
      <c r="W76" s="4">
        <v>169.30590000000001</v>
      </c>
      <c r="X76" s="4">
        <v>35.649299999999997</v>
      </c>
      <c r="Y76" s="4">
        <v>45449.519800000002</v>
      </c>
      <c r="Z76" s="4">
        <v>45449.519800000002</v>
      </c>
      <c r="AA76" s="4">
        <v>774.42759999999998</v>
      </c>
    </row>
    <row r="77" spans="1:27" x14ac:dyDescent="0.2">
      <c r="A77" s="3">
        <v>44256</v>
      </c>
      <c r="B77" s="4">
        <v>52358.963499999998</v>
      </c>
      <c r="C77" s="4">
        <v>1660.162</v>
      </c>
      <c r="D77" s="4">
        <v>680.53409999999997</v>
      </c>
      <c r="E77" s="4">
        <v>979.62789999999995</v>
      </c>
      <c r="F77" s="5">
        <v>17492.482599999999</v>
      </c>
      <c r="G77" s="4">
        <v>844.59720000000004</v>
      </c>
      <c r="H77" s="4">
        <v>16647.885399999999</v>
      </c>
      <c r="I77" s="4">
        <v>56.041600000000003</v>
      </c>
      <c r="J77" s="5">
        <v>1209.6189999999999</v>
      </c>
      <c r="K77" s="4">
        <v>641.98</v>
      </c>
      <c r="L77" s="4">
        <v>567.63900000000001</v>
      </c>
      <c r="M77" s="4">
        <v>28470.291700000002</v>
      </c>
      <c r="N77" s="4">
        <v>14110.0023</v>
      </c>
      <c r="O77" s="4">
        <v>107.1232</v>
      </c>
      <c r="P77" s="4">
        <v>14253.1661</v>
      </c>
      <c r="Q77" s="4">
        <v>3470.3665999999998</v>
      </c>
      <c r="R77" s="4">
        <v>104.76179999999999</v>
      </c>
      <c r="S77" s="4">
        <v>52254.201699999998</v>
      </c>
      <c r="T77" s="4">
        <v>269.44630000000001</v>
      </c>
      <c r="U77" s="4">
        <v>269.44630000000001</v>
      </c>
      <c r="V77" s="4">
        <v>322.64240000000001</v>
      </c>
      <c r="W77" s="4">
        <v>282.10950000000003</v>
      </c>
      <c r="X77" s="4">
        <v>40.533000000000001</v>
      </c>
      <c r="Y77" s="4">
        <v>50881.552000000003</v>
      </c>
      <c r="Z77" s="4">
        <v>50881.552000000003</v>
      </c>
      <c r="AA77" s="4">
        <v>780.56100000000004</v>
      </c>
    </row>
    <row r="78" spans="1:27" x14ac:dyDescent="0.2">
      <c r="A78" s="3">
        <v>44348</v>
      </c>
      <c r="B78" s="4">
        <v>51472.547599999998</v>
      </c>
      <c r="C78" s="4">
        <v>1564.8322000000001</v>
      </c>
      <c r="D78" s="4">
        <v>837.73540000000003</v>
      </c>
      <c r="E78" s="4">
        <v>727.09690000000001</v>
      </c>
      <c r="F78" s="5">
        <v>15155.3042</v>
      </c>
      <c r="G78" s="4">
        <v>615.45129999999995</v>
      </c>
      <c r="H78" s="4">
        <v>14539.8529</v>
      </c>
      <c r="I78" s="4">
        <v>-36.015599999999999</v>
      </c>
      <c r="J78" s="5">
        <v>1266.338</v>
      </c>
      <c r="K78" s="4">
        <v>654.01279999999997</v>
      </c>
      <c r="L78" s="4">
        <v>612.3252</v>
      </c>
      <c r="M78" s="4">
        <v>29594.4077</v>
      </c>
      <c r="N78" s="4">
        <v>13979.103499999999</v>
      </c>
      <c r="O78" s="4">
        <v>118.9773</v>
      </c>
      <c r="P78" s="4">
        <v>15496.326999999999</v>
      </c>
      <c r="Q78" s="4">
        <v>3927.681</v>
      </c>
      <c r="R78" s="4">
        <v>146.131</v>
      </c>
      <c r="S78" s="4">
        <v>51326.416599999997</v>
      </c>
      <c r="T78" s="4">
        <v>261.72789999999998</v>
      </c>
      <c r="U78" s="4">
        <v>261.72789999999998</v>
      </c>
      <c r="V78" s="4">
        <v>308.79669999999999</v>
      </c>
      <c r="W78" s="4">
        <v>267.17230000000001</v>
      </c>
      <c r="X78" s="4">
        <v>41.624400000000001</v>
      </c>
      <c r="Y78" s="4">
        <v>49928.6728</v>
      </c>
      <c r="Z78" s="4">
        <v>49928.6728</v>
      </c>
      <c r="AA78" s="4">
        <v>827.2192</v>
      </c>
    </row>
    <row r="79" spans="1:27" x14ac:dyDescent="0.2">
      <c r="A79" s="3">
        <v>44440</v>
      </c>
      <c r="B79" s="4">
        <v>53388.992200000001</v>
      </c>
      <c r="C79" s="4">
        <v>1342.8861999999999</v>
      </c>
      <c r="D79" s="4">
        <v>806.17110000000002</v>
      </c>
      <c r="E79" s="4">
        <v>536.71510000000001</v>
      </c>
      <c r="F79" s="5">
        <v>12991.9115</v>
      </c>
      <c r="G79" s="4">
        <v>449.46949999999998</v>
      </c>
      <c r="H79" s="4">
        <v>12542.441999999999</v>
      </c>
      <c r="I79" s="4">
        <v>-335.6028</v>
      </c>
      <c r="J79" s="5">
        <v>1336.0521000000001</v>
      </c>
      <c r="K79" s="4">
        <v>675.22529999999995</v>
      </c>
      <c r="L79" s="4">
        <v>660.82680000000005</v>
      </c>
      <c r="M79" s="4">
        <v>33321.335800000001</v>
      </c>
      <c r="N79" s="4">
        <v>15232.3053</v>
      </c>
      <c r="O79" s="4">
        <v>103.7287</v>
      </c>
      <c r="P79" s="4">
        <v>17985.301800000001</v>
      </c>
      <c r="Q79" s="4">
        <v>4732.4093000000003</v>
      </c>
      <c r="R79" s="4">
        <v>176.14340000000001</v>
      </c>
      <c r="S79" s="4">
        <v>53212.8488</v>
      </c>
      <c r="T79" s="4">
        <v>201.43039999999999</v>
      </c>
      <c r="U79" s="4">
        <v>201.43039999999999</v>
      </c>
      <c r="V79" s="4">
        <v>382.05610000000001</v>
      </c>
      <c r="W79" s="4">
        <v>232.7304</v>
      </c>
      <c r="X79" s="4">
        <v>149.32579999999999</v>
      </c>
      <c r="Y79" s="4">
        <v>51730.135999999999</v>
      </c>
      <c r="Z79" s="4">
        <v>51730.135999999999</v>
      </c>
      <c r="AA79" s="4">
        <v>899.22619999999995</v>
      </c>
    </row>
    <row r="80" spans="1:27" x14ac:dyDescent="0.2">
      <c r="A80" s="3">
        <v>44531</v>
      </c>
      <c r="B80" s="4">
        <v>55227.904199999997</v>
      </c>
      <c r="C80" s="4">
        <v>1365.5119</v>
      </c>
      <c r="D80" s="4">
        <v>751.95370000000003</v>
      </c>
      <c r="E80" s="4">
        <v>613.55809999999997</v>
      </c>
      <c r="F80" s="5">
        <v>12398.513999999999</v>
      </c>
      <c r="G80" s="4">
        <v>519.38879999999995</v>
      </c>
      <c r="H80" s="4">
        <v>11879.1252</v>
      </c>
      <c r="I80" s="4">
        <v>66.804000000000002</v>
      </c>
      <c r="J80" s="5">
        <v>1330.8960999999999</v>
      </c>
      <c r="K80" s="4">
        <v>640.14250000000004</v>
      </c>
      <c r="L80" s="4">
        <v>690.75360000000001</v>
      </c>
      <c r="M80" s="4">
        <v>34303.782200000001</v>
      </c>
      <c r="N80" s="4">
        <v>15075.4764</v>
      </c>
      <c r="O80" s="4">
        <v>164.71180000000001</v>
      </c>
      <c r="P80" s="4">
        <v>19063.5939</v>
      </c>
      <c r="Q80" s="4">
        <v>5762.3960999999999</v>
      </c>
      <c r="R80" s="4">
        <v>329.9436</v>
      </c>
      <c r="S80" s="4">
        <v>54897.960700000003</v>
      </c>
      <c r="T80" s="4">
        <v>202.59549999999999</v>
      </c>
      <c r="U80" s="4">
        <v>202.59549999999999</v>
      </c>
      <c r="V80" s="4">
        <v>431.25569999999999</v>
      </c>
      <c r="W80" s="4">
        <v>265.76670000000001</v>
      </c>
      <c r="X80" s="4">
        <v>165.48910000000001</v>
      </c>
      <c r="Y80" s="4">
        <v>53323.440600000002</v>
      </c>
      <c r="Z80" s="4">
        <v>53323.440600000002</v>
      </c>
      <c r="AA80" s="4">
        <v>940.66890000000001</v>
      </c>
    </row>
    <row r="81" spans="1:27" x14ac:dyDescent="0.2">
      <c r="A81" s="3">
        <v>44621</v>
      </c>
      <c r="B81" s="4">
        <v>51726.6967</v>
      </c>
      <c r="C81" s="4">
        <v>1508.8809000000001</v>
      </c>
      <c r="D81" s="4">
        <v>664.1146</v>
      </c>
      <c r="E81" s="4">
        <v>844.76620000000003</v>
      </c>
      <c r="F81" s="5">
        <v>12306.672699999999</v>
      </c>
      <c r="G81" s="4">
        <v>411.84050000000002</v>
      </c>
      <c r="H81" s="4">
        <v>11894.832200000001</v>
      </c>
      <c r="I81" s="4">
        <v>42.361899999999999</v>
      </c>
      <c r="J81" s="5">
        <v>1335.3323</v>
      </c>
      <c r="K81" s="4">
        <v>617.77419999999995</v>
      </c>
      <c r="L81" s="4">
        <v>717.55809999999997</v>
      </c>
      <c r="M81" s="4">
        <v>31024.849399999999</v>
      </c>
      <c r="N81" s="4">
        <v>15064.135</v>
      </c>
      <c r="O81" s="4">
        <v>125.943</v>
      </c>
      <c r="P81" s="4">
        <v>15834.7714</v>
      </c>
      <c r="Q81" s="4">
        <v>5508.5995000000003</v>
      </c>
      <c r="R81" s="4">
        <v>272.67419999999998</v>
      </c>
      <c r="S81" s="4">
        <v>51454.022400000002</v>
      </c>
      <c r="T81" s="4">
        <v>207.5514</v>
      </c>
      <c r="U81" s="4">
        <v>207.5514</v>
      </c>
      <c r="V81" s="4">
        <v>421.83890000000002</v>
      </c>
      <c r="W81" s="4">
        <v>252.2517</v>
      </c>
      <c r="X81" s="4">
        <v>169.5872</v>
      </c>
      <c r="Y81" s="4">
        <v>49979.566700000003</v>
      </c>
      <c r="Z81" s="4">
        <v>49979.566700000003</v>
      </c>
      <c r="AA81" s="4">
        <v>845.06560000000002</v>
      </c>
    </row>
    <row r="82" spans="1:27" x14ac:dyDescent="0.2">
      <c r="A82" s="3">
        <v>44713</v>
      </c>
      <c r="B82" s="4">
        <v>53392.695899999999</v>
      </c>
      <c r="C82" s="4">
        <v>1864.7465</v>
      </c>
      <c r="D82" s="4">
        <v>652.47580000000005</v>
      </c>
      <c r="E82" s="4">
        <v>1212.2707</v>
      </c>
      <c r="F82" s="5">
        <v>13728.354300000001</v>
      </c>
      <c r="G82" s="4">
        <v>734.00480000000005</v>
      </c>
      <c r="H82" s="4">
        <v>12994.3495</v>
      </c>
      <c r="I82" s="4">
        <v>-258.40219999999999</v>
      </c>
      <c r="J82" s="5">
        <v>1489.5700999999999</v>
      </c>
      <c r="K82" s="4">
        <v>692.4511</v>
      </c>
      <c r="L82" s="4">
        <v>797.1191</v>
      </c>
      <c r="M82" s="4">
        <v>30707.0939</v>
      </c>
      <c r="N82" s="4">
        <v>15596.9905</v>
      </c>
      <c r="O82" s="4">
        <v>116.65430000000001</v>
      </c>
      <c r="P82" s="4">
        <v>14993.4491</v>
      </c>
      <c r="Q82" s="4">
        <v>5861.3332</v>
      </c>
      <c r="R82" s="4">
        <v>174.16829999999999</v>
      </c>
      <c r="S82" s="4">
        <v>53218.527600000001</v>
      </c>
      <c r="T82" s="4">
        <v>285.33010000000002</v>
      </c>
      <c r="U82" s="4">
        <v>285.33010000000002</v>
      </c>
      <c r="V82" s="4">
        <v>388.37259999999998</v>
      </c>
      <c r="W82" s="4">
        <v>266.95460000000003</v>
      </c>
      <c r="X82" s="4">
        <v>121.41800000000001</v>
      </c>
      <c r="Y82" s="4">
        <v>51676.752</v>
      </c>
      <c r="Z82" s="4">
        <v>51676.752</v>
      </c>
      <c r="AA82" s="4">
        <v>868.0729</v>
      </c>
    </row>
    <row r="83" spans="1:27" x14ac:dyDescent="0.2">
      <c r="A83" s="3">
        <v>44805</v>
      </c>
      <c r="B83" s="4">
        <v>54618.432999999997</v>
      </c>
      <c r="C83" s="4">
        <v>2233.4268999999999</v>
      </c>
      <c r="D83" s="4">
        <v>457.88369999999998</v>
      </c>
      <c r="E83" s="4">
        <v>1775.5433</v>
      </c>
      <c r="F83" s="5">
        <v>13598.175499999999</v>
      </c>
      <c r="G83" s="4">
        <v>608.62030000000004</v>
      </c>
      <c r="H83" s="4">
        <v>12989.555200000001</v>
      </c>
      <c r="I83" s="4">
        <v>-164.41460000000001</v>
      </c>
      <c r="J83" s="5">
        <v>1553.7581</v>
      </c>
      <c r="K83" s="4">
        <v>713.61959999999999</v>
      </c>
      <c r="L83" s="4">
        <v>840.13850000000002</v>
      </c>
      <c r="M83" s="4">
        <v>30694.614000000001</v>
      </c>
      <c r="N83" s="4">
        <v>16700.178100000001</v>
      </c>
      <c r="O83" s="4">
        <v>87.110900000000001</v>
      </c>
      <c r="P83" s="4">
        <v>13907.325000000001</v>
      </c>
      <c r="Q83" s="4">
        <v>6702.8730999999998</v>
      </c>
      <c r="R83" s="4">
        <v>103.0778</v>
      </c>
      <c r="S83" s="4">
        <v>54515.355199999998</v>
      </c>
      <c r="T83" s="4">
        <v>290.20119999999997</v>
      </c>
      <c r="U83" s="4">
        <v>290.20119999999997</v>
      </c>
      <c r="V83" s="4">
        <v>363.6979</v>
      </c>
      <c r="W83" s="4">
        <v>219.75139999999999</v>
      </c>
      <c r="X83" s="4">
        <v>143.94649999999999</v>
      </c>
      <c r="Y83" s="4">
        <v>52859.561099999999</v>
      </c>
      <c r="Z83" s="4">
        <v>52859.561099999999</v>
      </c>
      <c r="AA83" s="4">
        <v>1001.895</v>
      </c>
    </row>
    <row r="84" spans="1:27" x14ac:dyDescent="0.2">
      <c r="A84" s="3">
        <v>44896</v>
      </c>
      <c r="B84" s="4">
        <v>52378.044800000003</v>
      </c>
      <c r="C84" s="4">
        <v>2374.1644999999999</v>
      </c>
      <c r="D84" s="4">
        <v>449.37090000000001</v>
      </c>
      <c r="E84" s="4">
        <v>1924.7936</v>
      </c>
      <c r="F84" s="5">
        <v>13605.0128</v>
      </c>
      <c r="G84" s="4">
        <v>599.50559999999996</v>
      </c>
      <c r="H84" s="4">
        <v>13005.507299999999</v>
      </c>
      <c r="I84" s="4">
        <v>388.73090000000002</v>
      </c>
      <c r="J84" s="5">
        <v>1578.4203</v>
      </c>
      <c r="K84" s="4">
        <v>710.24270000000001</v>
      </c>
      <c r="L84" s="4">
        <v>868.17759999999998</v>
      </c>
      <c r="M84" s="4">
        <v>28340.841400000001</v>
      </c>
      <c r="N84" s="4">
        <v>15352.100700000001</v>
      </c>
      <c r="O84" s="4">
        <v>105.8463</v>
      </c>
      <c r="P84" s="4">
        <v>12882.894399999999</v>
      </c>
      <c r="Q84" s="4">
        <v>6090.8748999999998</v>
      </c>
      <c r="R84" s="4">
        <v>270.7285</v>
      </c>
      <c r="S84" s="4">
        <v>52107.316299999999</v>
      </c>
      <c r="T84" s="4">
        <v>283.2362</v>
      </c>
      <c r="U84" s="4">
        <v>283.2362</v>
      </c>
      <c r="V84" s="4">
        <v>389.5616</v>
      </c>
      <c r="W84" s="4">
        <v>178.37719999999999</v>
      </c>
      <c r="X84" s="4">
        <v>211.18440000000001</v>
      </c>
      <c r="Y84" s="4">
        <v>50526.52</v>
      </c>
      <c r="Z84" s="4">
        <v>50526.52</v>
      </c>
      <c r="AA84" s="4">
        <v>907.99850000000004</v>
      </c>
    </row>
    <row r="85" spans="1:27" x14ac:dyDescent="0.2">
      <c r="A85" s="3">
        <v>44986</v>
      </c>
      <c r="B85" s="4">
        <v>51242.260799999996</v>
      </c>
      <c r="C85" s="4">
        <v>2221.8827999999999</v>
      </c>
      <c r="D85" s="4">
        <v>476.91680000000002</v>
      </c>
      <c r="E85" s="4">
        <v>1744.9659999999999</v>
      </c>
      <c r="F85" s="5">
        <v>13423.906800000001</v>
      </c>
      <c r="G85" s="4">
        <v>770.57629999999995</v>
      </c>
      <c r="H85" s="4">
        <v>12653.330400000001</v>
      </c>
      <c r="I85" s="4">
        <v>451.71269999999998</v>
      </c>
      <c r="J85" s="5">
        <v>1284.5510999999999</v>
      </c>
      <c r="K85" s="4">
        <v>410.76479999999998</v>
      </c>
      <c r="L85" s="4">
        <v>873.78629999999998</v>
      </c>
      <c r="M85" s="4">
        <v>27109.569</v>
      </c>
      <c r="N85" s="4">
        <v>15090.2382</v>
      </c>
      <c r="O85" s="4">
        <v>58.305300000000003</v>
      </c>
      <c r="P85" s="4">
        <v>11961.0255</v>
      </c>
      <c r="Q85" s="4">
        <v>6750.6385</v>
      </c>
      <c r="R85" s="4">
        <v>261.5718</v>
      </c>
      <c r="S85" s="4">
        <v>50980.689100000003</v>
      </c>
      <c r="T85" s="4">
        <v>292.41059999999999</v>
      </c>
      <c r="U85" s="4">
        <v>292.41059999999999</v>
      </c>
      <c r="V85" s="4">
        <v>381.5335</v>
      </c>
      <c r="W85" s="4">
        <v>190.65209999999999</v>
      </c>
      <c r="X85" s="4">
        <v>190.88140000000001</v>
      </c>
      <c r="Y85" s="4">
        <v>49481.069600000003</v>
      </c>
      <c r="Z85" s="4">
        <v>49481.069600000003</v>
      </c>
      <c r="AA85" s="4">
        <v>825.67529999999999</v>
      </c>
    </row>
    <row r="86" spans="1:27" x14ac:dyDescent="0.2">
      <c r="A86" s="3">
        <v>45078</v>
      </c>
      <c r="B86" s="4">
        <v>52078.575400000002</v>
      </c>
      <c r="C86" s="4">
        <v>2460.4638</v>
      </c>
      <c r="D86" s="4">
        <v>534.76080000000002</v>
      </c>
      <c r="E86" s="4">
        <v>1925.703</v>
      </c>
      <c r="F86" s="5">
        <v>14420.414199999999</v>
      </c>
      <c r="G86" s="4">
        <v>834.37829999999997</v>
      </c>
      <c r="H86" s="4">
        <v>13586.035900000001</v>
      </c>
      <c r="I86" s="4">
        <v>489.54840000000002</v>
      </c>
      <c r="J86" s="5">
        <v>1687.9060999999999</v>
      </c>
      <c r="K86" s="4">
        <v>766.09079999999994</v>
      </c>
      <c r="L86" s="4">
        <v>921.8152</v>
      </c>
      <c r="M86" s="4">
        <v>27025.253799999999</v>
      </c>
      <c r="N86" s="4">
        <v>15561.1211</v>
      </c>
      <c r="O86" s="4">
        <v>79.624600000000001</v>
      </c>
      <c r="P86" s="4">
        <v>11384.508099999999</v>
      </c>
      <c r="Q86" s="4">
        <v>5994.9890999999998</v>
      </c>
      <c r="R86" s="4">
        <v>168.1046</v>
      </c>
      <c r="S86" s="4">
        <v>51910.470800000003</v>
      </c>
      <c r="T86" s="4">
        <v>266.93090000000001</v>
      </c>
      <c r="U86" s="4">
        <v>266.93090000000001</v>
      </c>
      <c r="V86" s="4">
        <v>398.24759999999998</v>
      </c>
      <c r="W86" s="4">
        <v>168.74010000000001</v>
      </c>
      <c r="X86" s="4">
        <v>229.50749999999999</v>
      </c>
      <c r="Y86" s="4">
        <v>50480.624000000003</v>
      </c>
      <c r="Z86" s="4">
        <v>50480.624000000003</v>
      </c>
      <c r="AA86" s="4">
        <v>764.66830000000004</v>
      </c>
    </row>
    <row r="87" spans="1:27" x14ac:dyDescent="0.2">
      <c r="A87" s="3">
        <v>45170</v>
      </c>
      <c r="B87" s="4">
        <v>55382.449800000002</v>
      </c>
      <c r="C87" s="4">
        <v>2270.7687000000001</v>
      </c>
      <c r="D87" s="4">
        <v>530.99220000000003</v>
      </c>
      <c r="E87" s="4">
        <v>1739.7764999999999</v>
      </c>
      <c r="F87" s="5">
        <v>15001.8693</v>
      </c>
      <c r="G87" s="4">
        <v>752.47730000000001</v>
      </c>
      <c r="H87" s="4">
        <v>14249.391900000001</v>
      </c>
      <c r="I87" s="4">
        <v>-2.7086999999999999</v>
      </c>
      <c r="J87" s="5">
        <v>1746.5746999999999</v>
      </c>
      <c r="K87" s="4">
        <v>815.45519999999999</v>
      </c>
      <c r="L87" s="4">
        <v>931.11950000000002</v>
      </c>
      <c r="M87" s="4">
        <v>29425.675299999999</v>
      </c>
      <c r="N87" s="4">
        <v>16846.703000000001</v>
      </c>
      <c r="O87" s="4">
        <v>88.544899999999998</v>
      </c>
      <c r="P87" s="4">
        <v>12490.4274</v>
      </c>
      <c r="Q87" s="4">
        <v>6940.2704999999996</v>
      </c>
      <c r="R87" s="4">
        <v>167.66909999999999</v>
      </c>
      <c r="S87" s="4">
        <v>55214.780700000003</v>
      </c>
      <c r="T87" s="4">
        <v>272.38819999999998</v>
      </c>
      <c r="U87" s="4">
        <v>272.38819999999998</v>
      </c>
      <c r="V87" s="4">
        <v>428.4434</v>
      </c>
      <c r="W87" s="4">
        <v>210.2818</v>
      </c>
      <c r="X87" s="4">
        <v>218.16159999999999</v>
      </c>
      <c r="Y87" s="4">
        <v>53744.633600000001</v>
      </c>
      <c r="Z87" s="4">
        <v>53744.633600000001</v>
      </c>
      <c r="AA87" s="4">
        <v>769.31550000000004</v>
      </c>
    </row>
    <row r="88" spans="1:27" x14ac:dyDescent="0.2">
      <c r="A88" s="3">
        <v>45261</v>
      </c>
      <c r="B88" s="4">
        <v>56228.186600000001</v>
      </c>
      <c r="C88" s="4">
        <v>2064.5605</v>
      </c>
      <c r="D88" s="4">
        <v>582.55290000000002</v>
      </c>
      <c r="E88" s="4">
        <v>1482.0077000000001</v>
      </c>
      <c r="F88" s="5">
        <v>15881.579299999999</v>
      </c>
      <c r="G88" s="4">
        <v>910.9049</v>
      </c>
      <c r="H88" s="4">
        <v>14970.674499999999</v>
      </c>
      <c r="I88" s="4">
        <v>81.744200000000006</v>
      </c>
      <c r="J88" s="5">
        <v>1703.3128999999999</v>
      </c>
      <c r="K88" s="4">
        <v>770.57259999999997</v>
      </c>
      <c r="L88" s="4">
        <v>932.74030000000005</v>
      </c>
      <c r="M88" s="4">
        <v>29110.467400000001</v>
      </c>
      <c r="N88" s="4">
        <v>15844.4053</v>
      </c>
      <c r="O88" s="4">
        <v>85.108000000000004</v>
      </c>
      <c r="P88" s="4">
        <v>13180.954100000001</v>
      </c>
      <c r="Q88" s="4">
        <v>7386.5222000000003</v>
      </c>
      <c r="R88" s="4">
        <v>358.77120000000002</v>
      </c>
      <c r="S88" s="4">
        <v>55869.415399999998</v>
      </c>
      <c r="T88" s="4">
        <v>280.23270000000002</v>
      </c>
      <c r="U88" s="4">
        <v>280.23270000000002</v>
      </c>
      <c r="V88" s="4">
        <v>514.83420000000001</v>
      </c>
      <c r="W88" s="4">
        <v>265.47699999999998</v>
      </c>
      <c r="X88" s="4">
        <v>249.35730000000001</v>
      </c>
      <c r="Y88" s="4">
        <v>54356.978799999997</v>
      </c>
      <c r="Z88" s="4">
        <v>54356.978799999997</v>
      </c>
      <c r="AA88" s="4">
        <v>717.36959999999999</v>
      </c>
    </row>
    <row r="89" spans="1:27" x14ac:dyDescent="0.2">
      <c r="A89" s="3">
        <v>45352</v>
      </c>
      <c r="B89" s="4">
        <v>63095.319499999998</v>
      </c>
      <c r="C89" s="4">
        <v>2383.2406000000001</v>
      </c>
      <c r="D89" s="4">
        <v>666.59140000000002</v>
      </c>
      <c r="E89" s="4">
        <v>1716.6492000000001</v>
      </c>
      <c r="F89" s="5">
        <v>17544.277300000002</v>
      </c>
      <c r="G89" s="4">
        <v>1763.1759999999999</v>
      </c>
      <c r="H89" s="4">
        <v>15781.1013</v>
      </c>
      <c r="I89" s="4">
        <v>-126.1828</v>
      </c>
      <c r="J89" s="5">
        <v>1799.9561000000001</v>
      </c>
      <c r="K89" s="4">
        <v>867.16700000000003</v>
      </c>
      <c r="L89" s="4">
        <v>932.78909999999996</v>
      </c>
      <c r="M89" s="4">
        <v>34011.0265</v>
      </c>
      <c r="N89" s="4">
        <v>17824.292000000001</v>
      </c>
      <c r="O89" s="4">
        <v>76.985900000000001</v>
      </c>
      <c r="P89" s="4">
        <v>16109.748600000001</v>
      </c>
      <c r="Q89" s="4">
        <v>7483.0019000000002</v>
      </c>
      <c r="R89" s="4">
        <v>416.60250000000002</v>
      </c>
      <c r="S89" s="4">
        <v>62678.716999999997</v>
      </c>
      <c r="T89" s="4">
        <v>287.91559999999998</v>
      </c>
      <c r="U89" s="4">
        <v>287.91559999999998</v>
      </c>
      <c r="V89" s="4">
        <v>492.9545</v>
      </c>
      <c r="W89" s="4">
        <v>307.8329</v>
      </c>
      <c r="X89" s="4">
        <v>185.1215</v>
      </c>
      <c r="Y89" s="4">
        <v>61027.688600000001</v>
      </c>
      <c r="Z89" s="4">
        <v>61027.688600000001</v>
      </c>
      <c r="AA89" s="4">
        <v>870.15840000000003</v>
      </c>
    </row>
    <row r="90" spans="1:27" x14ac:dyDescent="0.2">
      <c r="A90" s="3">
        <v>45444</v>
      </c>
      <c r="B90" s="4">
        <v>64373.601300000002</v>
      </c>
      <c r="C90" s="4">
        <v>2297.3661000000002</v>
      </c>
      <c r="D90" s="4">
        <v>591.28719999999998</v>
      </c>
      <c r="E90" s="4">
        <v>1706.079</v>
      </c>
      <c r="F90" s="5">
        <v>18021.861099999998</v>
      </c>
      <c r="G90" s="4">
        <v>2484.3081000000002</v>
      </c>
      <c r="H90" s="4">
        <v>15537.553</v>
      </c>
      <c r="I90" s="4">
        <v>-56.183100000000003</v>
      </c>
      <c r="J90" s="5">
        <v>1860.1935000000001</v>
      </c>
      <c r="K90" s="4">
        <v>892.71849999999995</v>
      </c>
      <c r="L90" s="4">
        <v>967.47490000000005</v>
      </c>
      <c r="M90" s="4">
        <v>34786.4689</v>
      </c>
      <c r="N90" s="4">
        <v>17848.143599999999</v>
      </c>
      <c r="O90" s="4">
        <v>115.3776</v>
      </c>
      <c r="P90" s="4">
        <v>16822.947700000001</v>
      </c>
      <c r="Q90" s="4">
        <v>7463.8948</v>
      </c>
      <c r="R90" s="4">
        <v>155.1481</v>
      </c>
      <c r="S90" s="4">
        <v>64218.453099999999</v>
      </c>
      <c r="T90" s="4">
        <v>341.80259999999998</v>
      </c>
      <c r="U90" s="4">
        <v>341.80259999999998</v>
      </c>
      <c r="V90" s="4">
        <v>486.49869999999999</v>
      </c>
      <c r="W90" s="4">
        <v>301.81200000000001</v>
      </c>
      <c r="X90" s="4">
        <v>184.6867</v>
      </c>
      <c r="Y90" s="4">
        <v>62460.757299999997</v>
      </c>
      <c r="Z90" s="4">
        <v>62460.757299999997</v>
      </c>
      <c r="AA90" s="4">
        <v>929.39449999999999</v>
      </c>
    </row>
    <row r="91" spans="1:27" x14ac:dyDescent="0.2">
      <c r="A91" s="3">
        <v>45536</v>
      </c>
      <c r="B91" s="4">
        <v>69113.852199999994</v>
      </c>
      <c r="C91" s="4">
        <v>2654.5466999999999</v>
      </c>
      <c r="D91" s="4">
        <v>763.86739999999998</v>
      </c>
      <c r="E91" s="4">
        <v>1890.6793</v>
      </c>
      <c r="F91" s="5">
        <v>21428.257000000001</v>
      </c>
      <c r="G91" s="4">
        <v>2402.3582000000001</v>
      </c>
      <c r="H91" s="4">
        <v>19025.898799999999</v>
      </c>
      <c r="I91" s="4">
        <v>155.8657</v>
      </c>
      <c r="J91" s="5">
        <v>1879.0542</v>
      </c>
      <c r="K91" s="4">
        <v>910.31590000000006</v>
      </c>
      <c r="L91" s="4">
        <v>968.73829999999998</v>
      </c>
      <c r="M91" s="4">
        <v>35907.019999999997</v>
      </c>
      <c r="N91" s="4">
        <v>17445.923500000001</v>
      </c>
      <c r="O91" s="4">
        <v>93.479100000000003</v>
      </c>
      <c r="P91" s="4">
        <v>18367.6175</v>
      </c>
      <c r="Q91" s="4">
        <v>7089.1085999999996</v>
      </c>
      <c r="R91" s="4">
        <v>160.30840000000001</v>
      </c>
      <c r="S91" s="4">
        <v>68953.543900000004</v>
      </c>
      <c r="T91" s="4">
        <v>358.90210000000002</v>
      </c>
      <c r="U91" s="4">
        <v>358.90210000000002</v>
      </c>
      <c r="V91" s="4">
        <v>479.19299999999998</v>
      </c>
      <c r="W91" s="4">
        <v>358.00330000000002</v>
      </c>
      <c r="X91" s="4">
        <v>121.18980000000001</v>
      </c>
      <c r="Y91" s="4">
        <v>67106.239300000001</v>
      </c>
      <c r="Z91" s="4">
        <v>67106.239300000001</v>
      </c>
      <c r="AA91" s="4">
        <v>1009.2094</v>
      </c>
    </row>
    <row r="92" spans="1:27" x14ac:dyDescent="0.2">
      <c r="A92" s="3">
        <v>45627</v>
      </c>
      <c r="B92" s="4">
        <v>71274.636499999993</v>
      </c>
      <c r="C92" s="4">
        <v>2749.6581000000001</v>
      </c>
      <c r="D92" s="4">
        <v>661.46630000000005</v>
      </c>
      <c r="E92" s="4">
        <v>2088.1918000000001</v>
      </c>
      <c r="F92" s="5">
        <v>21680.2536</v>
      </c>
      <c r="G92" s="4">
        <v>1778.7538999999999</v>
      </c>
      <c r="H92" s="4">
        <v>19901.4997</v>
      </c>
      <c r="I92" s="4">
        <v>-195.10159999999999</v>
      </c>
      <c r="J92" s="5">
        <v>1764.0509</v>
      </c>
      <c r="K92" s="4">
        <v>792.03390000000002</v>
      </c>
      <c r="L92" s="4">
        <v>972.01700000000005</v>
      </c>
      <c r="M92" s="4">
        <v>38453.349300000002</v>
      </c>
      <c r="N92" s="4">
        <v>17715.279299999998</v>
      </c>
      <c r="O92" s="4">
        <v>119.2636</v>
      </c>
      <c r="P92" s="4">
        <v>20618.806400000001</v>
      </c>
      <c r="Q92" s="4">
        <v>6822.4260999999997</v>
      </c>
      <c r="R92" s="4">
        <v>415.50200000000001</v>
      </c>
      <c r="S92" s="4">
        <v>70859.134399999995</v>
      </c>
      <c r="T92" s="4">
        <v>332.99380000000002</v>
      </c>
      <c r="U92" s="4">
        <v>332.99380000000002</v>
      </c>
      <c r="V92" s="4">
        <v>453.30380000000002</v>
      </c>
      <c r="W92" s="4">
        <v>329.74189999999999</v>
      </c>
      <c r="X92" s="4">
        <v>123.56189999999999</v>
      </c>
      <c r="Y92" s="4">
        <v>69077.676300000006</v>
      </c>
      <c r="Z92" s="4">
        <v>69077.676300000006</v>
      </c>
      <c r="AA92" s="4">
        <v>995.16039999999998</v>
      </c>
    </row>
    <row r="93" spans="1:27" x14ac:dyDescent="0.2">
      <c r="A93" s="3">
        <v>45717</v>
      </c>
      <c r="B93" s="4">
        <v>73444.335000000006</v>
      </c>
      <c r="C93" s="4">
        <v>2589.7181</v>
      </c>
      <c r="D93" s="4">
        <v>533.31799999999998</v>
      </c>
      <c r="E93" s="4">
        <v>2056.4000999999998</v>
      </c>
      <c r="F93" s="5">
        <v>21108.200099999998</v>
      </c>
      <c r="G93" s="4">
        <v>1908.9067</v>
      </c>
      <c r="H93" s="4">
        <v>19199.293399999999</v>
      </c>
      <c r="I93" s="4">
        <v>15.6326</v>
      </c>
      <c r="J93" s="5">
        <v>2029.4299000000001</v>
      </c>
      <c r="K93" s="4">
        <v>1004.6448</v>
      </c>
      <c r="L93" s="4">
        <v>1024.7852</v>
      </c>
      <c r="M93" s="4">
        <v>39819.283900000002</v>
      </c>
      <c r="N93" s="4">
        <v>18667.089899999999</v>
      </c>
      <c r="O93" s="4">
        <v>104.43049999999999</v>
      </c>
      <c r="P93" s="4">
        <v>21047.763500000001</v>
      </c>
      <c r="Q93" s="4">
        <v>7882.0703000000003</v>
      </c>
      <c r="R93" s="4">
        <v>-2.3641999999999999</v>
      </c>
      <c r="S93" s="4">
        <v>73446.699200000003</v>
      </c>
      <c r="T93" s="4">
        <v>326.47539999999998</v>
      </c>
      <c r="U93" s="4">
        <v>326.47539999999998</v>
      </c>
      <c r="V93" s="4">
        <v>625.89290000000005</v>
      </c>
      <c r="W93" s="4">
        <v>428.49079999999998</v>
      </c>
      <c r="X93" s="4">
        <v>197.40219999999999</v>
      </c>
      <c r="Y93" s="4">
        <v>71366.136499999993</v>
      </c>
      <c r="Z93" s="4">
        <v>71366.136499999993</v>
      </c>
      <c r="AA93" s="4">
        <v>1128.1943000000001</v>
      </c>
    </row>
    <row r="94" spans="1:27" x14ac:dyDescent="0.2">
      <c r="A94" s="3">
        <v>45809</v>
      </c>
      <c r="B94" s="4">
        <v>77981.195900000006</v>
      </c>
      <c r="C94" s="4">
        <v>2689.6176</v>
      </c>
      <c r="D94" s="4">
        <v>662.31039999999996</v>
      </c>
      <c r="E94" s="4">
        <v>2027.3072</v>
      </c>
      <c r="F94" s="5">
        <v>23513.178100000001</v>
      </c>
      <c r="G94" s="4">
        <v>2444.0097000000001</v>
      </c>
      <c r="H94" s="4">
        <v>21069.168399999999</v>
      </c>
      <c r="I94" s="4">
        <v>47.983400000000003</v>
      </c>
      <c r="J94" s="5">
        <v>2110.2085999999999</v>
      </c>
      <c r="K94" s="4">
        <v>1028.2286999999999</v>
      </c>
      <c r="L94" s="4">
        <v>1081.9799</v>
      </c>
      <c r="M94" s="4">
        <v>42210.553699999997</v>
      </c>
      <c r="N94" s="4">
        <v>19094.419999999998</v>
      </c>
      <c r="O94" s="4">
        <v>114.4517</v>
      </c>
      <c r="P94" s="4">
        <v>23001.6819</v>
      </c>
      <c r="Q94" s="4">
        <v>7409.6544000000004</v>
      </c>
      <c r="R94" s="4">
        <v>-2.1299000000000001</v>
      </c>
      <c r="S94" s="4">
        <v>77983.325800000006</v>
      </c>
      <c r="T94" s="4">
        <v>266.94810000000001</v>
      </c>
      <c r="U94" s="4">
        <v>266.94810000000001</v>
      </c>
      <c r="V94" s="4">
        <v>614.63469999999995</v>
      </c>
      <c r="W94" s="4">
        <v>413.27010000000001</v>
      </c>
      <c r="X94" s="4">
        <v>201.3646</v>
      </c>
      <c r="Y94" s="4">
        <v>76006.212599999999</v>
      </c>
      <c r="Z94" s="4">
        <v>76006.212599999999</v>
      </c>
      <c r="AA94" s="4">
        <v>1095.5304000000001</v>
      </c>
    </row>
    <row r="95" spans="1:27" x14ac:dyDescent="0.2">
      <c r="A95" s="3">
        <v>45901</v>
      </c>
      <c r="B95" s="4">
        <v>86065.313500000004</v>
      </c>
      <c r="C95" s="4">
        <v>3012.3292999999999</v>
      </c>
      <c r="D95" s="4">
        <v>705.10569999999996</v>
      </c>
      <c r="E95" s="4">
        <v>2307.2235999999998</v>
      </c>
      <c r="F95" s="5">
        <v>26305.340700000001</v>
      </c>
      <c r="G95" s="4">
        <v>2351.8624</v>
      </c>
      <c r="H95" s="4">
        <v>23953.478299999999</v>
      </c>
      <c r="I95" s="4">
        <v>-56.677599999999998</v>
      </c>
      <c r="J95" s="5">
        <v>2098.3856999999998</v>
      </c>
      <c r="K95" s="4">
        <v>1020.1208</v>
      </c>
      <c r="L95" s="4">
        <v>1078.2648999999999</v>
      </c>
      <c r="M95" s="4">
        <v>46670.638400000003</v>
      </c>
      <c r="N95" s="4">
        <v>20438.53</v>
      </c>
      <c r="O95" s="4">
        <v>117.6722</v>
      </c>
      <c r="P95" s="4">
        <v>26114.436300000001</v>
      </c>
      <c r="Q95" s="4">
        <v>8035.2969999999996</v>
      </c>
      <c r="R95" s="4">
        <v>-7.6841999999999997</v>
      </c>
      <c r="S95" s="4">
        <v>86072.997700000007</v>
      </c>
      <c r="T95" s="4">
        <v>276.6807</v>
      </c>
      <c r="U95" s="4">
        <v>276.6807</v>
      </c>
      <c r="V95" s="4">
        <v>721.1857</v>
      </c>
      <c r="W95" s="4">
        <v>534.10820000000001</v>
      </c>
      <c r="X95" s="4">
        <v>187.07759999999999</v>
      </c>
      <c r="Y95" s="4">
        <v>83918.902900000001</v>
      </c>
      <c r="Z95" s="4">
        <v>83918.902900000001</v>
      </c>
      <c r="AA95" s="4">
        <v>1156.2284</v>
      </c>
    </row>
  </sheetData>
  <mergeCells count="2">
    <mergeCell ref="A1:AA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76BA-A776-9943-B7E3-7E5C9BDF5E92}">
  <sheetPr>
    <tabColor rgb="FFC00000"/>
  </sheetPr>
  <dimension ref="A1:AG95"/>
  <sheetViews>
    <sheetView workbookViewId="0">
      <selection activeCell="C3" sqref="C3"/>
    </sheetView>
  </sheetViews>
  <sheetFormatPr baseColWidth="10" defaultRowHeight="16" x14ac:dyDescent="0.2"/>
  <sheetData>
    <row r="1" spans="1:33" x14ac:dyDescent="0.2">
      <c r="A1" s="7" t="s">
        <v>47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</row>
    <row r="2" spans="1:33" x14ac:dyDescent="0.2">
      <c r="A2" s="8" t="s">
        <v>161</v>
      </c>
      <c r="B2" s="8"/>
      <c r="C2" s="1">
        <f>B5-I5-N5-Q5-R5</f>
        <v>4246.1863999999969</v>
      </c>
      <c r="D2" s="1">
        <f>C5+F5+J5+O5+P5</f>
        <v>4246.1863000000003</v>
      </c>
    </row>
    <row r="3" spans="1:33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48</v>
      </c>
      <c r="R3" s="2" t="s">
        <v>20</v>
      </c>
      <c r="S3" s="2" t="s">
        <v>39</v>
      </c>
      <c r="T3" s="2" t="s">
        <v>22</v>
      </c>
      <c r="U3" s="2" t="s">
        <v>23</v>
      </c>
      <c r="V3" s="2" t="s">
        <v>49</v>
      </c>
      <c r="W3" s="2" t="s">
        <v>50</v>
      </c>
      <c r="X3" s="2" t="s">
        <v>51</v>
      </c>
      <c r="Y3" s="2" t="s">
        <v>52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53</v>
      </c>
      <c r="AE3" s="2" t="s">
        <v>54</v>
      </c>
      <c r="AF3" s="2" t="s">
        <v>55</v>
      </c>
      <c r="AG3" s="2" t="s">
        <v>35</v>
      </c>
    </row>
    <row r="4" spans="1:33" x14ac:dyDescent="0.2">
      <c r="A4" s="3">
        <v>37591</v>
      </c>
      <c r="B4" s="4">
        <v>51322.266499999998</v>
      </c>
      <c r="C4" s="4">
        <v>2077.0630000000001</v>
      </c>
      <c r="D4" s="4">
        <v>798.40689999999995</v>
      </c>
      <c r="E4" s="4">
        <v>1278.6561999999999</v>
      </c>
      <c r="F4" s="5">
        <v>519.45219999999995</v>
      </c>
      <c r="G4" s="4">
        <v>36.333599999999997</v>
      </c>
      <c r="H4" s="4">
        <v>483.11860000000001</v>
      </c>
      <c r="I4" s="4">
        <v>120.5462</v>
      </c>
      <c r="J4" s="5">
        <v>995.96709999999996</v>
      </c>
      <c r="K4" s="4">
        <v>358.8698</v>
      </c>
      <c r="L4" s="4">
        <v>637.09730000000002</v>
      </c>
      <c r="M4" s="4">
        <v>36153.670700000002</v>
      </c>
      <c r="N4" s="4">
        <v>35297.769</v>
      </c>
      <c r="O4" s="4">
        <v>494.3023</v>
      </c>
      <c r="P4" s="4">
        <v>361.5994</v>
      </c>
      <c r="Q4" s="4">
        <v>252.3237</v>
      </c>
      <c r="R4" s="4">
        <v>11203.2436</v>
      </c>
      <c r="S4" s="4">
        <v>3865.4346</v>
      </c>
      <c r="T4" s="4">
        <v>47456.831899999997</v>
      </c>
      <c r="U4" s="4">
        <v>0.20349999999999999</v>
      </c>
      <c r="V4" s="4">
        <v>0.20349999999999999</v>
      </c>
      <c r="W4" s="4">
        <v>862.07730000000004</v>
      </c>
      <c r="X4" s="4">
        <v>11.06</v>
      </c>
      <c r="Y4" s="4">
        <v>851.01729999999998</v>
      </c>
      <c r="Z4" s="4">
        <v>4856.7137000000002</v>
      </c>
      <c r="AA4" s="4">
        <v>1016.9668</v>
      </c>
      <c r="AB4" s="4">
        <v>3839.7469000000001</v>
      </c>
      <c r="AC4" s="4">
        <v>30222.4493</v>
      </c>
      <c r="AD4" s="4">
        <v>30222.4493</v>
      </c>
      <c r="AE4" s="4">
        <v>0</v>
      </c>
      <c r="AF4" s="4">
        <v>0</v>
      </c>
      <c r="AG4" s="4">
        <v>11515.388199999999</v>
      </c>
    </row>
    <row r="5" spans="1:33" x14ac:dyDescent="0.2">
      <c r="A5" s="3">
        <v>37681</v>
      </c>
      <c r="B5" s="4">
        <v>53430.414599999996</v>
      </c>
      <c r="C5" s="4">
        <v>1980.0519999999999</v>
      </c>
      <c r="D5" s="4">
        <v>735.90830000000005</v>
      </c>
      <c r="E5" s="4">
        <v>1244.1437000000001</v>
      </c>
      <c r="F5" s="5">
        <v>529.7876</v>
      </c>
      <c r="G5" s="4">
        <v>38.446599999999997</v>
      </c>
      <c r="H5" s="4">
        <v>491.34100000000001</v>
      </c>
      <c r="I5" s="4">
        <v>111.9452</v>
      </c>
      <c r="J5" s="5">
        <v>1044.673</v>
      </c>
      <c r="K5" s="4">
        <v>364.59829999999999</v>
      </c>
      <c r="L5" s="4">
        <v>680.07479999999998</v>
      </c>
      <c r="M5" s="4">
        <v>37745.360399999998</v>
      </c>
      <c r="N5" s="4">
        <v>37053.686699999998</v>
      </c>
      <c r="O5" s="4">
        <v>407.53379999999999</v>
      </c>
      <c r="P5" s="4">
        <v>284.13990000000001</v>
      </c>
      <c r="Q5" s="4">
        <v>258.78559999999999</v>
      </c>
      <c r="R5" s="4">
        <v>11759.8107</v>
      </c>
      <c r="S5" s="4">
        <v>3038.4243999999999</v>
      </c>
      <c r="T5" s="4">
        <v>50391.990100000003</v>
      </c>
      <c r="U5" s="4">
        <v>0.24210000000000001</v>
      </c>
      <c r="V5" s="4">
        <v>0.24210000000000001</v>
      </c>
      <c r="W5" s="4">
        <v>998.93719999999996</v>
      </c>
      <c r="X5" s="4">
        <v>79.221900000000005</v>
      </c>
      <c r="Y5" s="4">
        <v>919.71519999999998</v>
      </c>
      <c r="Z5" s="4">
        <v>4992.4405999999999</v>
      </c>
      <c r="AA5" s="4">
        <v>1054.2189000000001</v>
      </c>
      <c r="AB5" s="4">
        <v>3938.2217000000001</v>
      </c>
      <c r="AC5" s="4">
        <v>32020.155999999999</v>
      </c>
      <c r="AD5" s="4">
        <v>32020.155999999999</v>
      </c>
      <c r="AE5" s="4">
        <v>0</v>
      </c>
      <c r="AF5" s="4">
        <v>0</v>
      </c>
      <c r="AG5" s="4">
        <v>12380.2143</v>
      </c>
    </row>
    <row r="6" spans="1:33" x14ac:dyDescent="0.2">
      <c r="A6" s="3">
        <v>37773</v>
      </c>
      <c r="B6" s="4">
        <v>55940.9375</v>
      </c>
      <c r="C6" s="4">
        <v>2312.2307999999998</v>
      </c>
      <c r="D6" s="4">
        <v>1008.5482</v>
      </c>
      <c r="E6" s="4">
        <v>1303.6826000000001</v>
      </c>
      <c r="F6" s="5">
        <v>540.80269999999996</v>
      </c>
      <c r="G6" s="4">
        <v>40.664299999999997</v>
      </c>
      <c r="H6" s="4">
        <v>500.13839999999999</v>
      </c>
      <c r="I6" s="4">
        <v>114.21559999999999</v>
      </c>
      <c r="J6" s="5">
        <v>1094.6719000000001</v>
      </c>
      <c r="K6" s="4">
        <v>338.17340000000002</v>
      </c>
      <c r="L6" s="4">
        <v>756.49850000000004</v>
      </c>
      <c r="M6" s="4">
        <v>39610.47</v>
      </c>
      <c r="N6" s="4">
        <v>38811.252200000003</v>
      </c>
      <c r="O6" s="4">
        <v>462.66829999999999</v>
      </c>
      <c r="P6" s="4">
        <v>336.54939999999999</v>
      </c>
      <c r="Q6" s="4">
        <v>273.15789999999998</v>
      </c>
      <c r="R6" s="4">
        <v>11995.388499999999</v>
      </c>
      <c r="S6" s="4">
        <v>3527.9576000000002</v>
      </c>
      <c r="T6" s="4">
        <v>52412.979899999998</v>
      </c>
      <c r="U6" s="4">
        <v>0.28110000000000002</v>
      </c>
      <c r="V6" s="4">
        <v>0.28110000000000002</v>
      </c>
      <c r="W6" s="4">
        <v>1063.376</v>
      </c>
      <c r="X6" s="4">
        <v>84.677300000000002</v>
      </c>
      <c r="Y6" s="4">
        <v>978.69860000000006</v>
      </c>
      <c r="Z6" s="4">
        <v>5051.1641</v>
      </c>
      <c r="AA6" s="4">
        <v>1061.3158000000001</v>
      </c>
      <c r="AB6" s="4">
        <v>3989.8483000000001</v>
      </c>
      <c r="AC6" s="4">
        <v>33664.076500000003</v>
      </c>
      <c r="AD6" s="4">
        <v>33664.076500000003</v>
      </c>
      <c r="AE6" s="4">
        <v>0</v>
      </c>
      <c r="AF6" s="4">
        <v>0</v>
      </c>
      <c r="AG6" s="4">
        <v>12634.082200000001</v>
      </c>
    </row>
    <row r="7" spans="1:33" x14ac:dyDescent="0.2">
      <c r="A7" s="3">
        <v>37865</v>
      </c>
      <c r="B7" s="4">
        <v>57771.877800000002</v>
      </c>
      <c r="C7" s="4">
        <v>2181.5556999999999</v>
      </c>
      <c r="D7" s="4">
        <v>826.71349999999995</v>
      </c>
      <c r="E7" s="4">
        <v>1354.8421000000001</v>
      </c>
      <c r="F7" s="5">
        <v>542.89009999999996</v>
      </c>
      <c r="G7" s="4">
        <v>36.505499999999998</v>
      </c>
      <c r="H7" s="4">
        <v>506.38459999999998</v>
      </c>
      <c r="I7" s="4">
        <v>105.53019999999999</v>
      </c>
      <c r="J7" s="5">
        <v>1184.1131</v>
      </c>
      <c r="K7" s="4">
        <v>328.98329999999999</v>
      </c>
      <c r="L7" s="4">
        <v>855.12980000000005</v>
      </c>
      <c r="M7" s="4">
        <v>41206.453200000004</v>
      </c>
      <c r="N7" s="4">
        <v>40376.861700000001</v>
      </c>
      <c r="O7" s="4">
        <v>478.46339999999998</v>
      </c>
      <c r="P7" s="4">
        <v>351.12819999999999</v>
      </c>
      <c r="Q7" s="4">
        <v>284.03309999999999</v>
      </c>
      <c r="R7" s="4">
        <v>12267.3025</v>
      </c>
      <c r="S7" s="4">
        <v>3820.7746999999999</v>
      </c>
      <c r="T7" s="4">
        <v>53951.1031</v>
      </c>
      <c r="U7" s="4">
        <v>0.32050000000000001</v>
      </c>
      <c r="V7" s="4">
        <v>0.32050000000000001</v>
      </c>
      <c r="W7" s="4">
        <v>1149.2023999999999</v>
      </c>
      <c r="X7" s="4">
        <v>83.174400000000006</v>
      </c>
      <c r="Y7" s="4">
        <v>1066.028</v>
      </c>
      <c r="Z7" s="4">
        <v>5069.6593000000003</v>
      </c>
      <c r="AA7" s="4">
        <v>1071.3731</v>
      </c>
      <c r="AB7" s="4">
        <v>3998.2862</v>
      </c>
      <c r="AC7" s="4">
        <v>34899.333400000003</v>
      </c>
      <c r="AD7" s="4">
        <v>34899.333400000003</v>
      </c>
      <c r="AE7" s="4">
        <v>0</v>
      </c>
      <c r="AF7" s="4">
        <v>0</v>
      </c>
      <c r="AG7" s="4">
        <v>12832.5875</v>
      </c>
    </row>
    <row r="8" spans="1:33" x14ac:dyDescent="0.2">
      <c r="A8" s="3">
        <v>37956</v>
      </c>
      <c r="B8" s="4">
        <v>56741.247600000002</v>
      </c>
      <c r="C8" s="4">
        <v>2166.0844999999999</v>
      </c>
      <c r="D8" s="4">
        <v>854.96690000000001</v>
      </c>
      <c r="E8" s="4">
        <v>1311.1176</v>
      </c>
      <c r="F8" s="5">
        <v>556.26419999999996</v>
      </c>
      <c r="G8" s="4">
        <v>38.069400000000002</v>
      </c>
      <c r="H8" s="4">
        <v>518.19489999999996</v>
      </c>
      <c r="I8" s="4">
        <v>123.81310000000001</v>
      </c>
      <c r="J8" s="5">
        <v>1253.1232</v>
      </c>
      <c r="K8" s="4">
        <v>340.44869999999997</v>
      </c>
      <c r="L8" s="4">
        <v>912.67449999999997</v>
      </c>
      <c r="M8" s="4">
        <v>40174.986499999999</v>
      </c>
      <c r="N8" s="4">
        <v>39289.236499999999</v>
      </c>
      <c r="O8" s="4">
        <v>507.05259999999998</v>
      </c>
      <c r="P8" s="4">
        <v>378.69740000000002</v>
      </c>
      <c r="Q8" s="4">
        <v>291.21510000000001</v>
      </c>
      <c r="R8" s="4">
        <v>12175.761</v>
      </c>
      <c r="S8" s="4">
        <v>3761.7640999999999</v>
      </c>
      <c r="T8" s="4">
        <v>52979.483500000002</v>
      </c>
      <c r="U8" s="4">
        <v>0.3599</v>
      </c>
      <c r="V8" s="4">
        <v>0.3599</v>
      </c>
      <c r="W8" s="4">
        <v>1368.6892</v>
      </c>
      <c r="X8" s="4">
        <v>160.673</v>
      </c>
      <c r="Y8" s="4">
        <v>1208.0162</v>
      </c>
      <c r="Z8" s="4">
        <v>5093.9560000000001</v>
      </c>
      <c r="AA8" s="4">
        <v>1076.8352</v>
      </c>
      <c r="AB8" s="4">
        <v>4017.1206999999999</v>
      </c>
      <c r="AC8" s="4">
        <v>34087.660100000001</v>
      </c>
      <c r="AD8" s="4">
        <v>34087.660100000001</v>
      </c>
      <c r="AE8" s="4">
        <v>0</v>
      </c>
      <c r="AF8" s="4">
        <v>0</v>
      </c>
      <c r="AG8" s="4">
        <v>12428.818300000001</v>
      </c>
    </row>
    <row r="9" spans="1:33" x14ac:dyDescent="0.2">
      <c r="A9" s="3">
        <v>38047</v>
      </c>
      <c r="B9" s="4">
        <v>57752.784599999999</v>
      </c>
      <c r="C9" s="4">
        <v>2201.9047</v>
      </c>
      <c r="D9" s="4">
        <v>856.93089999999995</v>
      </c>
      <c r="E9" s="4">
        <v>1344.9739</v>
      </c>
      <c r="F9" s="5">
        <v>578.08330000000001</v>
      </c>
      <c r="G9" s="4">
        <v>41.244700000000002</v>
      </c>
      <c r="H9" s="4">
        <v>536.83870000000002</v>
      </c>
      <c r="I9" s="4">
        <v>126.16540000000001</v>
      </c>
      <c r="J9" s="5">
        <v>1346.7965999999999</v>
      </c>
      <c r="K9" s="4">
        <v>341.97460000000001</v>
      </c>
      <c r="L9" s="4">
        <v>1004.8221</v>
      </c>
      <c r="M9" s="4">
        <v>40870.47</v>
      </c>
      <c r="N9" s="4">
        <v>39908.525199999996</v>
      </c>
      <c r="O9" s="4">
        <v>548.16629999999998</v>
      </c>
      <c r="P9" s="4">
        <v>413.77850000000001</v>
      </c>
      <c r="Q9" s="4">
        <v>303.10509999999999</v>
      </c>
      <c r="R9" s="4">
        <v>12326.2595</v>
      </c>
      <c r="S9" s="4">
        <v>3804.7253000000001</v>
      </c>
      <c r="T9" s="4">
        <v>53948.059300000001</v>
      </c>
      <c r="U9" s="4">
        <v>0.39879999999999999</v>
      </c>
      <c r="V9" s="4">
        <v>0.39879999999999999</v>
      </c>
      <c r="W9" s="4">
        <v>1453.6819</v>
      </c>
      <c r="X9" s="4">
        <v>161.9956</v>
      </c>
      <c r="Y9" s="4">
        <v>1291.6862000000001</v>
      </c>
      <c r="Z9" s="4">
        <v>5141.8495999999996</v>
      </c>
      <c r="AA9" s="4">
        <v>1024.0083999999999</v>
      </c>
      <c r="AB9" s="4">
        <v>4117.8411999999998</v>
      </c>
      <c r="AC9" s="4">
        <v>34696.516799999998</v>
      </c>
      <c r="AD9" s="4">
        <v>34696.516799999998</v>
      </c>
      <c r="AE9" s="4">
        <v>0</v>
      </c>
      <c r="AF9" s="4">
        <v>0</v>
      </c>
      <c r="AG9" s="4">
        <v>12655.6122</v>
      </c>
    </row>
    <row r="10" spans="1:33" x14ac:dyDescent="0.2">
      <c r="A10" s="3">
        <v>38139</v>
      </c>
      <c r="B10" s="4">
        <v>58956.040399999998</v>
      </c>
      <c r="C10" s="4">
        <v>2223.6518999999998</v>
      </c>
      <c r="D10" s="4">
        <v>904.21810000000005</v>
      </c>
      <c r="E10" s="4">
        <v>1319.4337</v>
      </c>
      <c r="F10" s="5">
        <v>576.85260000000005</v>
      </c>
      <c r="G10" s="4">
        <v>39.947800000000001</v>
      </c>
      <c r="H10" s="4">
        <v>536.90480000000002</v>
      </c>
      <c r="I10" s="4">
        <v>112.3496</v>
      </c>
      <c r="J10" s="5">
        <v>1405.4666999999999</v>
      </c>
      <c r="K10" s="4">
        <v>350.79930000000002</v>
      </c>
      <c r="L10" s="4">
        <v>1054.6674</v>
      </c>
      <c r="M10" s="4">
        <v>41935.027000000002</v>
      </c>
      <c r="N10" s="4">
        <v>40958.122199999998</v>
      </c>
      <c r="O10" s="4">
        <v>547.43409999999994</v>
      </c>
      <c r="P10" s="4">
        <v>429.47070000000002</v>
      </c>
      <c r="Q10" s="4">
        <v>307.47460000000001</v>
      </c>
      <c r="R10" s="4">
        <v>12395.2181</v>
      </c>
      <c r="S10" s="4">
        <v>4246.6313</v>
      </c>
      <c r="T10" s="4">
        <v>54709.409099999997</v>
      </c>
      <c r="U10" s="4">
        <v>0.43769999999999998</v>
      </c>
      <c r="V10" s="4">
        <v>0.43769999999999998</v>
      </c>
      <c r="W10" s="4">
        <v>1465.7534000000001</v>
      </c>
      <c r="X10" s="4">
        <v>174.68020000000001</v>
      </c>
      <c r="Y10" s="4">
        <v>1291.0732</v>
      </c>
      <c r="Z10" s="4">
        <v>5180.8919999999998</v>
      </c>
      <c r="AA10" s="4">
        <v>1024.1487999999999</v>
      </c>
      <c r="AB10" s="4">
        <v>4156.7431999999999</v>
      </c>
      <c r="AC10" s="4">
        <v>35290.192600000002</v>
      </c>
      <c r="AD10" s="4">
        <v>35290.192600000002</v>
      </c>
      <c r="AE10" s="4">
        <v>0</v>
      </c>
      <c r="AF10" s="4">
        <v>0</v>
      </c>
      <c r="AG10" s="4">
        <v>12772.1333</v>
      </c>
    </row>
    <row r="11" spans="1:33" x14ac:dyDescent="0.2">
      <c r="A11" s="3">
        <v>38231</v>
      </c>
      <c r="B11" s="4">
        <v>60593.949099999998</v>
      </c>
      <c r="C11" s="4">
        <v>2046.0017</v>
      </c>
      <c r="D11" s="4">
        <v>708.15539999999999</v>
      </c>
      <c r="E11" s="4">
        <v>1337.8462999999999</v>
      </c>
      <c r="F11" s="5">
        <v>585.03949999999998</v>
      </c>
      <c r="G11" s="4">
        <v>42.326599999999999</v>
      </c>
      <c r="H11" s="4">
        <v>542.71299999999997</v>
      </c>
      <c r="I11" s="4">
        <v>112.3212</v>
      </c>
      <c r="J11" s="5">
        <v>1464.3271</v>
      </c>
      <c r="K11" s="4">
        <v>338.37220000000002</v>
      </c>
      <c r="L11" s="4">
        <v>1125.9549</v>
      </c>
      <c r="M11" s="4">
        <v>43156.152399999999</v>
      </c>
      <c r="N11" s="4">
        <v>42152.911800000002</v>
      </c>
      <c r="O11" s="4">
        <v>563.85310000000004</v>
      </c>
      <c r="P11" s="4">
        <v>439.38740000000001</v>
      </c>
      <c r="Q11" s="4">
        <v>320.2337</v>
      </c>
      <c r="R11" s="4">
        <v>12909.8735</v>
      </c>
      <c r="S11" s="4">
        <v>4140.0173999999997</v>
      </c>
      <c r="T11" s="4">
        <v>56453.931700000001</v>
      </c>
      <c r="U11" s="4">
        <v>0.47699999999999998</v>
      </c>
      <c r="V11" s="4">
        <v>0.47699999999999998</v>
      </c>
      <c r="W11" s="4">
        <v>1494.0841</v>
      </c>
      <c r="X11" s="4">
        <v>218.29239999999999</v>
      </c>
      <c r="Y11" s="4">
        <v>1275.7917</v>
      </c>
      <c r="Z11" s="4">
        <v>5265.2999</v>
      </c>
      <c r="AA11" s="4">
        <v>1038.6400000000001</v>
      </c>
      <c r="AB11" s="4">
        <v>4226.6598999999997</v>
      </c>
      <c r="AC11" s="4">
        <v>36557.9139</v>
      </c>
      <c r="AD11" s="4">
        <v>36557.9139</v>
      </c>
      <c r="AE11" s="4">
        <v>0</v>
      </c>
      <c r="AF11" s="4">
        <v>0</v>
      </c>
      <c r="AG11" s="4">
        <v>13136.156800000001</v>
      </c>
    </row>
    <row r="12" spans="1:33" x14ac:dyDescent="0.2">
      <c r="A12" s="3">
        <v>38322</v>
      </c>
      <c r="B12" s="4">
        <v>61700.448400000001</v>
      </c>
      <c r="C12" s="4">
        <v>2324.6893</v>
      </c>
      <c r="D12" s="4">
        <v>908.68449999999996</v>
      </c>
      <c r="E12" s="4">
        <v>1416.0047</v>
      </c>
      <c r="F12" s="5">
        <v>571.94269999999995</v>
      </c>
      <c r="G12" s="4">
        <v>37.414400000000001</v>
      </c>
      <c r="H12" s="4">
        <v>534.52829999999994</v>
      </c>
      <c r="I12" s="4">
        <v>131.0797</v>
      </c>
      <c r="J12" s="5">
        <v>1521.2230999999999</v>
      </c>
      <c r="K12" s="4">
        <v>344.2901</v>
      </c>
      <c r="L12" s="4">
        <v>1176.9329</v>
      </c>
      <c r="M12" s="4">
        <v>43403.972099999999</v>
      </c>
      <c r="N12" s="4">
        <v>42463.597500000003</v>
      </c>
      <c r="O12" s="4">
        <v>543.74360000000001</v>
      </c>
      <c r="P12" s="4">
        <v>396.6311</v>
      </c>
      <c r="Q12" s="4">
        <v>334.42809999999997</v>
      </c>
      <c r="R12" s="4">
        <v>13413.1134</v>
      </c>
      <c r="S12" s="4">
        <v>3633.5234999999998</v>
      </c>
      <c r="T12" s="4">
        <v>58066.924800000001</v>
      </c>
      <c r="U12" s="4">
        <v>0.51629999999999998</v>
      </c>
      <c r="V12" s="4">
        <v>0.51629999999999998</v>
      </c>
      <c r="W12" s="4">
        <v>1680.6818000000001</v>
      </c>
      <c r="X12" s="4">
        <v>188.66739999999999</v>
      </c>
      <c r="Y12" s="4">
        <v>1492.0144</v>
      </c>
      <c r="Z12" s="4">
        <v>5380.8010999999997</v>
      </c>
      <c r="AA12" s="4">
        <v>1079.7937999999999</v>
      </c>
      <c r="AB12" s="4">
        <v>4301.0073000000002</v>
      </c>
      <c r="AC12" s="4">
        <v>37557.7353</v>
      </c>
      <c r="AD12" s="4">
        <v>37557.7353</v>
      </c>
      <c r="AE12" s="4">
        <v>0</v>
      </c>
      <c r="AF12" s="4">
        <v>0</v>
      </c>
      <c r="AG12" s="4">
        <v>13447.1903</v>
      </c>
    </row>
    <row r="13" spans="1:33" x14ac:dyDescent="0.2">
      <c r="A13" s="3">
        <v>38412</v>
      </c>
      <c r="B13" s="4">
        <v>62562.5507</v>
      </c>
      <c r="C13" s="4">
        <v>2154.0396000000001</v>
      </c>
      <c r="D13" s="4">
        <v>694.34019999999998</v>
      </c>
      <c r="E13" s="4">
        <v>1459.6994</v>
      </c>
      <c r="F13" s="5">
        <v>548.57090000000005</v>
      </c>
      <c r="G13" s="4">
        <v>34.744199999999999</v>
      </c>
      <c r="H13" s="4">
        <v>513.82669999999996</v>
      </c>
      <c r="I13" s="4">
        <v>134.0992</v>
      </c>
      <c r="J13" s="5">
        <v>1523.9589000000001</v>
      </c>
      <c r="K13" s="4">
        <v>349.72430000000003</v>
      </c>
      <c r="L13" s="4">
        <v>1174.2346</v>
      </c>
      <c r="M13" s="4">
        <v>44262.442600000002</v>
      </c>
      <c r="N13" s="4">
        <v>43287.867100000003</v>
      </c>
      <c r="O13" s="4">
        <v>552.48879999999997</v>
      </c>
      <c r="P13" s="4">
        <v>422.08679999999998</v>
      </c>
      <c r="Q13" s="4">
        <v>345.78399999999999</v>
      </c>
      <c r="R13" s="4">
        <v>13593.6554</v>
      </c>
      <c r="S13" s="4">
        <v>3821.9322000000002</v>
      </c>
      <c r="T13" s="4">
        <v>58740.618499999997</v>
      </c>
      <c r="U13" s="4">
        <v>0.55489999999999995</v>
      </c>
      <c r="V13" s="4">
        <v>0.55489999999999995</v>
      </c>
      <c r="W13" s="4">
        <v>1656.3616999999999</v>
      </c>
      <c r="X13" s="4">
        <v>196.42099999999999</v>
      </c>
      <c r="Y13" s="4">
        <v>1459.9407000000001</v>
      </c>
      <c r="Z13" s="4">
        <v>5480.6787000000004</v>
      </c>
      <c r="AA13" s="4">
        <v>1112.9807000000001</v>
      </c>
      <c r="AB13" s="4">
        <v>4367.6980999999996</v>
      </c>
      <c r="AC13" s="4">
        <v>37971.714899999999</v>
      </c>
      <c r="AD13" s="4">
        <v>37971.714899999999</v>
      </c>
      <c r="AE13" s="4">
        <v>0</v>
      </c>
      <c r="AF13" s="4">
        <v>0</v>
      </c>
      <c r="AG13" s="4">
        <v>13631.308300000001</v>
      </c>
    </row>
    <row r="14" spans="1:33" x14ac:dyDescent="0.2">
      <c r="A14" s="3">
        <v>38504</v>
      </c>
      <c r="B14" s="4">
        <v>64067.601900000001</v>
      </c>
      <c r="C14" s="4">
        <v>2296.0734000000002</v>
      </c>
      <c r="D14" s="4">
        <v>838.26679999999999</v>
      </c>
      <c r="E14" s="4">
        <v>1457.8064999999999</v>
      </c>
      <c r="F14" s="5">
        <v>563.35559999999998</v>
      </c>
      <c r="G14" s="4">
        <v>37.740699999999997</v>
      </c>
      <c r="H14" s="4">
        <v>525.61490000000003</v>
      </c>
      <c r="I14" s="4">
        <v>149.95750000000001</v>
      </c>
      <c r="J14" s="5">
        <v>1580.0816</v>
      </c>
      <c r="K14" s="4">
        <v>333.19380000000001</v>
      </c>
      <c r="L14" s="4">
        <v>1246.8878</v>
      </c>
      <c r="M14" s="4">
        <v>45101.570399999997</v>
      </c>
      <c r="N14" s="4">
        <v>44134.247499999998</v>
      </c>
      <c r="O14" s="4">
        <v>543.11300000000006</v>
      </c>
      <c r="P14" s="4">
        <v>424.21</v>
      </c>
      <c r="Q14" s="4">
        <v>361.31659999999999</v>
      </c>
      <c r="R14" s="4">
        <v>14015.246800000001</v>
      </c>
      <c r="S14" s="4">
        <v>3560.4436000000001</v>
      </c>
      <c r="T14" s="4">
        <v>60507.158199999998</v>
      </c>
      <c r="U14" s="4">
        <v>0.59389999999999998</v>
      </c>
      <c r="V14" s="4">
        <v>0.59389999999999998</v>
      </c>
      <c r="W14" s="4">
        <v>1903.3829000000001</v>
      </c>
      <c r="X14" s="4">
        <v>182.23580000000001</v>
      </c>
      <c r="Y14" s="4">
        <v>1721.1472000000001</v>
      </c>
      <c r="Z14" s="4">
        <v>5466.1154999999999</v>
      </c>
      <c r="AA14" s="4">
        <v>1092.4926</v>
      </c>
      <c r="AB14" s="4">
        <v>4373.6229999999996</v>
      </c>
      <c r="AC14" s="4">
        <v>39156.230300000003</v>
      </c>
      <c r="AD14" s="4">
        <v>39156.230300000003</v>
      </c>
      <c r="AE14" s="4">
        <v>0</v>
      </c>
      <c r="AF14" s="4">
        <v>0</v>
      </c>
      <c r="AG14" s="4">
        <v>13980.835499999999</v>
      </c>
    </row>
    <row r="15" spans="1:33" x14ac:dyDescent="0.2">
      <c r="A15" s="3">
        <v>38596</v>
      </c>
      <c r="B15" s="4">
        <v>66025.122600000002</v>
      </c>
      <c r="C15" s="4">
        <v>2194.5828000000001</v>
      </c>
      <c r="D15" s="4">
        <v>785.64279999999997</v>
      </c>
      <c r="E15" s="4">
        <v>1408.94</v>
      </c>
      <c r="F15" s="5">
        <v>560.71759999999995</v>
      </c>
      <c r="G15" s="4">
        <v>41.644300000000001</v>
      </c>
      <c r="H15" s="4">
        <v>519.07330000000002</v>
      </c>
      <c r="I15" s="4">
        <v>160.98779999999999</v>
      </c>
      <c r="J15" s="5">
        <v>1619.5273</v>
      </c>
      <c r="K15" s="4">
        <v>347.82310000000001</v>
      </c>
      <c r="L15" s="4">
        <v>1271.7041999999999</v>
      </c>
      <c r="M15" s="4">
        <v>46660.877800000002</v>
      </c>
      <c r="N15" s="4">
        <v>45615.541400000002</v>
      </c>
      <c r="O15" s="4">
        <v>590.88509999999997</v>
      </c>
      <c r="P15" s="4">
        <v>454.4513</v>
      </c>
      <c r="Q15" s="4">
        <v>378.70170000000002</v>
      </c>
      <c r="R15" s="4">
        <v>14449.727500000001</v>
      </c>
      <c r="S15" s="4">
        <v>2839.8708000000001</v>
      </c>
      <c r="T15" s="4">
        <v>63185.251799999998</v>
      </c>
      <c r="U15" s="4">
        <v>0.63329999999999997</v>
      </c>
      <c r="V15" s="4">
        <v>0.63329999999999997</v>
      </c>
      <c r="W15" s="4">
        <v>2008.0606</v>
      </c>
      <c r="X15" s="4">
        <v>183.6429</v>
      </c>
      <c r="Y15" s="4">
        <v>1824.4177999999999</v>
      </c>
      <c r="Z15" s="4">
        <v>5610.9539999999997</v>
      </c>
      <c r="AA15" s="4">
        <v>1160.6026999999999</v>
      </c>
      <c r="AB15" s="4">
        <v>4450.3512000000001</v>
      </c>
      <c r="AC15" s="4">
        <v>41343.189599999998</v>
      </c>
      <c r="AD15" s="4">
        <v>41343.189599999998</v>
      </c>
      <c r="AE15" s="4">
        <v>0</v>
      </c>
      <c r="AF15" s="4">
        <v>0</v>
      </c>
      <c r="AG15" s="4">
        <v>14222.414199999999</v>
      </c>
    </row>
    <row r="16" spans="1:33" x14ac:dyDescent="0.2">
      <c r="A16" s="3">
        <v>38687</v>
      </c>
      <c r="B16" s="4">
        <v>66270.830499999996</v>
      </c>
      <c r="C16" s="4">
        <v>2576.8368999999998</v>
      </c>
      <c r="D16" s="4">
        <v>1048.1668999999999</v>
      </c>
      <c r="E16" s="4">
        <v>1528.67</v>
      </c>
      <c r="F16" s="5">
        <v>539.0924</v>
      </c>
      <c r="G16" s="4">
        <v>43.349899999999998</v>
      </c>
      <c r="H16" s="4">
        <v>495.74259999999998</v>
      </c>
      <c r="I16" s="4">
        <v>141.6763</v>
      </c>
      <c r="J16" s="5">
        <v>1655.2266</v>
      </c>
      <c r="K16" s="4">
        <v>346.36950000000002</v>
      </c>
      <c r="L16" s="4">
        <v>1308.8570999999999</v>
      </c>
      <c r="M16" s="4">
        <v>46211.874400000001</v>
      </c>
      <c r="N16" s="4">
        <v>45219.258000000002</v>
      </c>
      <c r="O16" s="4">
        <v>570.34370000000001</v>
      </c>
      <c r="P16" s="4">
        <v>422.27269999999999</v>
      </c>
      <c r="Q16" s="4">
        <v>378.02210000000002</v>
      </c>
      <c r="R16" s="4">
        <v>14768.1019</v>
      </c>
      <c r="S16" s="4">
        <v>2685.2676999999999</v>
      </c>
      <c r="T16" s="4">
        <v>63585.562899999997</v>
      </c>
      <c r="U16" s="4">
        <v>0.67279999999999995</v>
      </c>
      <c r="V16" s="4">
        <v>0.67279999999999995</v>
      </c>
      <c r="W16" s="4">
        <v>1969.5709999999999</v>
      </c>
      <c r="X16" s="4">
        <v>181.77709999999999</v>
      </c>
      <c r="Y16" s="4">
        <v>1787.7938999999999</v>
      </c>
      <c r="Z16" s="4">
        <v>5742.3744999999999</v>
      </c>
      <c r="AA16" s="4">
        <v>1153.9654</v>
      </c>
      <c r="AB16" s="4">
        <v>4588.4090999999999</v>
      </c>
      <c r="AC16" s="4">
        <v>41396.592700000001</v>
      </c>
      <c r="AD16" s="4">
        <v>41396.592700000001</v>
      </c>
      <c r="AE16" s="4">
        <v>0</v>
      </c>
      <c r="AF16" s="4">
        <v>0</v>
      </c>
      <c r="AG16" s="4">
        <v>14476.3519</v>
      </c>
    </row>
    <row r="17" spans="1:33" x14ac:dyDescent="0.2">
      <c r="A17" s="3">
        <v>38777</v>
      </c>
      <c r="B17" s="4">
        <v>69102.867700000003</v>
      </c>
      <c r="C17" s="4">
        <v>2282.0455999999999</v>
      </c>
      <c r="D17" s="4">
        <v>715.93780000000004</v>
      </c>
      <c r="E17" s="4">
        <v>1566.1078</v>
      </c>
      <c r="F17" s="5">
        <v>533.88760000000002</v>
      </c>
      <c r="G17" s="4">
        <v>42.206699999999998</v>
      </c>
      <c r="H17" s="4">
        <v>491.68090000000001</v>
      </c>
      <c r="I17" s="4">
        <v>148.10560000000001</v>
      </c>
      <c r="J17" s="5">
        <v>1738.5213000000001</v>
      </c>
      <c r="K17" s="4">
        <v>358.1696</v>
      </c>
      <c r="L17" s="4">
        <v>1380.3516999999999</v>
      </c>
      <c r="M17" s="4">
        <v>48596.122499999998</v>
      </c>
      <c r="N17" s="4">
        <v>47529.522799999999</v>
      </c>
      <c r="O17" s="4">
        <v>619.11860000000001</v>
      </c>
      <c r="P17" s="4">
        <v>447.48099999999999</v>
      </c>
      <c r="Q17" s="4">
        <v>404.93790000000001</v>
      </c>
      <c r="R17" s="4">
        <v>15399.247300000001</v>
      </c>
      <c r="S17" s="4">
        <v>2217.5261</v>
      </c>
      <c r="T17" s="4">
        <v>66885.341499999995</v>
      </c>
      <c r="U17" s="4">
        <v>0.71279999999999999</v>
      </c>
      <c r="V17" s="4">
        <v>0.71279999999999999</v>
      </c>
      <c r="W17" s="4">
        <v>2037.1380999999999</v>
      </c>
      <c r="X17" s="4">
        <v>187.9196</v>
      </c>
      <c r="Y17" s="4">
        <v>1849.2184999999999</v>
      </c>
      <c r="Z17" s="4">
        <v>5883.1453000000001</v>
      </c>
      <c r="AA17" s="4">
        <v>1216.7252000000001</v>
      </c>
      <c r="AB17" s="4">
        <v>4666.4201999999996</v>
      </c>
      <c r="AC17" s="4">
        <v>43700.527600000001</v>
      </c>
      <c r="AD17" s="4">
        <v>43700.527600000001</v>
      </c>
      <c r="AE17" s="4">
        <v>0</v>
      </c>
      <c r="AF17" s="4">
        <v>0</v>
      </c>
      <c r="AG17" s="4">
        <v>15263.8177</v>
      </c>
    </row>
    <row r="18" spans="1:33" x14ac:dyDescent="0.2">
      <c r="A18" s="3">
        <v>38869</v>
      </c>
      <c r="B18" s="4">
        <v>71448.342699999994</v>
      </c>
      <c r="C18" s="4">
        <v>2402.2982000000002</v>
      </c>
      <c r="D18" s="4">
        <v>796.69550000000004</v>
      </c>
      <c r="E18" s="4">
        <v>1605.6025999999999</v>
      </c>
      <c r="F18" s="5">
        <v>516.4067</v>
      </c>
      <c r="G18" s="4">
        <v>40.316400000000002</v>
      </c>
      <c r="H18" s="4">
        <v>476.09030000000001</v>
      </c>
      <c r="I18" s="4">
        <v>140.64789999999999</v>
      </c>
      <c r="J18" s="5">
        <v>1752.3556000000001</v>
      </c>
      <c r="K18" s="4">
        <v>358.55070000000001</v>
      </c>
      <c r="L18" s="4">
        <v>1393.8049000000001</v>
      </c>
      <c r="M18" s="4">
        <v>50175.576399999998</v>
      </c>
      <c r="N18" s="4">
        <v>49120</v>
      </c>
      <c r="O18" s="4">
        <v>615.93190000000004</v>
      </c>
      <c r="P18" s="4">
        <v>439.64449999999999</v>
      </c>
      <c r="Q18" s="4">
        <v>402.24950000000001</v>
      </c>
      <c r="R18" s="4">
        <v>16058.8084</v>
      </c>
      <c r="S18" s="4">
        <v>2613.4205999999999</v>
      </c>
      <c r="T18" s="4">
        <v>68834.922099999996</v>
      </c>
      <c r="U18" s="4">
        <v>0.75329999999999997</v>
      </c>
      <c r="V18" s="4">
        <v>0.75329999999999997</v>
      </c>
      <c r="W18" s="4">
        <v>2072.4434999999999</v>
      </c>
      <c r="X18" s="4">
        <v>190.5814</v>
      </c>
      <c r="Y18" s="4">
        <v>1881.8621000000001</v>
      </c>
      <c r="Z18" s="4">
        <v>5935.1118999999999</v>
      </c>
      <c r="AA18" s="4">
        <v>1243.1242</v>
      </c>
      <c r="AB18" s="4">
        <v>4691.9876999999997</v>
      </c>
      <c r="AC18" s="4">
        <v>44886.659299999999</v>
      </c>
      <c r="AD18" s="4">
        <v>44886.659299999999</v>
      </c>
      <c r="AE18" s="4">
        <v>0</v>
      </c>
      <c r="AF18" s="4">
        <v>0</v>
      </c>
      <c r="AG18" s="4">
        <v>15939.954100000001</v>
      </c>
    </row>
    <row r="19" spans="1:33" x14ac:dyDescent="0.2">
      <c r="A19" s="3">
        <v>38961</v>
      </c>
      <c r="B19" s="4">
        <v>74191.822</v>
      </c>
      <c r="C19" s="4">
        <v>2420.9839999999999</v>
      </c>
      <c r="D19" s="4">
        <v>872.64179999999999</v>
      </c>
      <c r="E19" s="4">
        <v>1548.3422</v>
      </c>
      <c r="F19" s="5">
        <v>528.38969999999995</v>
      </c>
      <c r="G19" s="4">
        <v>34.340299999999999</v>
      </c>
      <c r="H19" s="4">
        <v>494.04930000000002</v>
      </c>
      <c r="I19" s="4">
        <v>147.88050000000001</v>
      </c>
      <c r="J19" s="5">
        <v>1840.5699</v>
      </c>
      <c r="K19" s="4">
        <v>367.1764</v>
      </c>
      <c r="L19" s="4">
        <v>1473.3934999999999</v>
      </c>
      <c r="M19" s="4">
        <v>52341.557399999998</v>
      </c>
      <c r="N19" s="4">
        <v>51236.848599999998</v>
      </c>
      <c r="O19" s="4">
        <v>657.06320000000005</v>
      </c>
      <c r="P19" s="4">
        <v>447.6456</v>
      </c>
      <c r="Q19" s="4">
        <v>426.7996</v>
      </c>
      <c r="R19" s="4">
        <v>16485.641</v>
      </c>
      <c r="S19" s="4">
        <v>3164.6419999999998</v>
      </c>
      <c r="T19" s="4">
        <v>71027.179900000003</v>
      </c>
      <c r="U19" s="4">
        <v>0.79420000000000002</v>
      </c>
      <c r="V19" s="4">
        <v>0.79420000000000002</v>
      </c>
      <c r="W19" s="4">
        <v>2178.9868999999999</v>
      </c>
      <c r="X19" s="4">
        <v>127.8426</v>
      </c>
      <c r="Y19" s="4">
        <v>2051.1442999999999</v>
      </c>
      <c r="Z19" s="4">
        <v>6038.0559000000003</v>
      </c>
      <c r="AA19" s="4">
        <v>1277.0406</v>
      </c>
      <c r="AB19" s="4">
        <v>4761.0153</v>
      </c>
      <c r="AC19" s="4">
        <v>46597.103300000002</v>
      </c>
      <c r="AD19" s="4">
        <v>46597.103300000002</v>
      </c>
      <c r="AE19" s="4">
        <v>0</v>
      </c>
      <c r="AF19" s="4">
        <v>0</v>
      </c>
      <c r="AG19" s="4">
        <v>16212.239600000001</v>
      </c>
    </row>
    <row r="20" spans="1:33" x14ac:dyDescent="0.2">
      <c r="A20" s="3">
        <v>39052</v>
      </c>
      <c r="B20" s="4">
        <v>75901.636199999994</v>
      </c>
      <c r="C20" s="4">
        <v>2790.7186000000002</v>
      </c>
      <c r="D20" s="4">
        <v>1098.8777</v>
      </c>
      <c r="E20" s="4">
        <v>1691.8408999999999</v>
      </c>
      <c r="F20" s="5">
        <v>554.36090000000002</v>
      </c>
      <c r="G20" s="4">
        <v>29.206</v>
      </c>
      <c r="H20" s="4">
        <v>525.15480000000002</v>
      </c>
      <c r="I20" s="4">
        <v>156.4648</v>
      </c>
      <c r="J20" s="5">
        <v>2011.3082999999999</v>
      </c>
      <c r="K20" s="4">
        <v>401.48700000000002</v>
      </c>
      <c r="L20" s="4">
        <v>1609.8212000000001</v>
      </c>
      <c r="M20" s="4">
        <v>52990.487800000003</v>
      </c>
      <c r="N20" s="4">
        <v>51883.236100000002</v>
      </c>
      <c r="O20" s="4">
        <v>659.30349999999999</v>
      </c>
      <c r="P20" s="4">
        <v>447.94819999999999</v>
      </c>
      <c r="Q20" s="4">
        <v>465.46800000000002</v>
      </c>
      <c r="R20" s="4">
        <v>16932.827799999999</v>
      </c>
      <c r="S20" s="4">
        <v>3964.9706999999999</v>
      </c>
      <c r="T20" s="4">
        <v>71936.665500000003</v>
      </c>
      <c r="U20" s="4">
        <v>0.83520000000000005</v>
      </c>
      <c r="V20" s="4">
        <v>0.83520000000000005</v>
      </c>
      <c r="W20" s="4">
        <v>2341.6293999999998</v>
      </c>
      <c r="X20" s="4">
        <v>51.817399999999999</v>
      </c>
      <c r="Y20" s="4">
        <v>2289.8119999999999</v>
      </c>
      <c r="Z20" s="4">
        <v>6279.357</v>
      </c>
      <c r="AA20" s="4">
        <v>1398.2888</v>
      </c>
      <c r="AB20" s="4">
        <v>4881.0681000000004</v>
      </c>
      <c r="AC20" s="4">
        <v>47175.1728</v>
      </c>
      <c r="AD20" s="4">
        <v>47175.1728</v>
      </c>
      <c r="AE20" s="4">
        <v>0</v>
      </c>
      <c r="AF20" s="4">
        <v>0</v>
      </c>
      <c r="AG20" s="4">
        <v>16139.6711</v>
      </c>
    </row>
    <row r="21" spans="1:33" x14ac:dyDescent="0.2">
      <c r="A21" s="3">
        <v>39142</v>
      </c>
      <c r="B21" s="4">
        <v>76740.317999999999</v>
      </c>
      <c r="C21" s="4">
        <v>2954.8168999999998</v>
      </c>
      <c r="D21" s="4">
        <v>1052.7584999999999</v>
      </c>
      <c r="E21" s="4">
        <v>1902.0583999999999</v>
      </c>
      <c r="F21" s="5">
        <v>548.76549999999997</v>
      </c>
      <c r="G21" s="4">
        <v>26.568999999999999</v>
      </c>
      <c r="H21" s="4">
        <v>522.19650000000001</v>
      </c>
      <c r="I21" s="4">
        <v>154.19470000000001</v>
      </c>
      <c r="J21" s="5">
        <v>2198.4578999999999</v>
      </c>
      <c r="K21" s="4">
        <v>406.7561</v>
      </c>
      <c r="L21" s="4">
        <v>1791.7018</v>
      </c>
      <c r="M21" s="4">
        <v>53557.792300000001</v>
      </c>
      <c r="N21" s="4">
        <v>52356.138899999998</v>
      </c>
      <c r="O21" s="4">
        <v>701.90520000000004</v>
      </c>
      <c r="P21" s="4">
        <v>499.7482</v>
      </c>
      <c r="Q21" s="4">
        <v>485.92590000000001</v>
      </c>
      <c r="R21" s="4">
        <v>16840.3649</v>
      </c>
      <c r="S21" s="4">
        <v>3457.7393000000002</v>
      </c>
      <c r="T21" s="4">
        <v>73282.578699999998</v>
      </c>
      <c r="U21" s="4">
        <v>0.88490000000000002</v>
      </c>
      <c r="V21" s="4">
        <v>0.88490000000000002</v>
      </c>
      <c r="W21" s="4">
        <v>2750.7579000000001</v>
      </c>
      <c r="X21" s="4">
        <v>50.149299999999997</v>
      </c>
      <c r="Y21" s="4">
        <v>2700.6086</v>
      </c>
      <c r="Z21" s="4">
        <v>6079.8732</v>
      </c>
      <c r="AA21" s="4">
        <v>1428.8789999999999</v>
      </c>
      <c r="AB21" s="4">
        <v>4650.9942000000001</v>
      </c>
      <c r="AC21" s="4">
        <v>48191.890200000002</v>
      </c>
      <c r="AD21" s="4">
        <v>48191.890200000002</v>
      </c>
      <c r="AE21" s="4">
        <v>0</v>
      </c>
      <c r="AF21" s="4">
        <v>0</v>
      </c>
      <c r="AG21" s="4">
        <v>16259.1726</v>
      </c>
    </row>
    <row r="22" spans="1:33" x14ac:dyDescent="0.2">
      <c r="A22" s="3">
        <v>39234</v>
      </c>
      <c r="B22" s="4">
        <v>81773.239199999996</v>
      </c>
      <c r="C22" s="4">
        <v>2885.2743</v>
      </c>
      <c r="D22" s="4">
        <v>1055.4115999999999</v>
      </c>
      <c r="E22" s="4">
        <v>1829.8626999999999</v>
      </c>
      <c r="F22" s="5">
        <v>533.99400000000003</v>
      </c>
      <c r="G22" s="4">
        <v>26.101099999999999</v>
      </c>
      <c r="H22" s="4">
        <v>507.89280000000002</v>
      </c>
      <c r="I22" s="4">
        <v>142.87809999999999</v>
      </c>
      <c r="J22" s="5">
        <v>2235.5871999999999</v>
      </c>
      <c r="K22" s="4">
        <v>415.04450000000003</v>
      </c>
      <c r="L22" s="4">
        <v>1820.5427999999999</v>
      </c>
      <c r="M22" s="4">
        <v>57209.3652</v>
      </c>
      <c r="N22" s="4">
        <v>56023.485000000001</v>
      </c>
      <c r="O22" s="4">
        <v>677.46299999999997</v>
      </c>
      <c r="P22" s="4">
        <v>508.41719999999998</v>
      </c>
      <c r="Q22" s="4">
        <v>523.21709999999996</v>
      </c>
      <c r="R22" s="4">
        <v>18242.923200000001</v>
      </c>
      <c r="S22" s="4">
        <v>3601.7166999999999</v>
      </c>
      <c r="T22" s="4">
        <v>78171.522500000006</v>
      </c>
      <c r="U22" s="4">
        <v>0.93520000000000003</v>
      </c>
      <c r="V22" s="4">
        <v>0.93520000000000003</v>
      </c>
      <c r="W22" s="4">
        <v>2724.5403000000001</v>
      </c>
      <c r="X22" s="4">
        <v>62.156100000000002</v>
      </c>
      <c r="Y22" s="4">
        <v>2662.3843000000002</v>
      </c>
      <c r="Z22" s="4">
        <v>6019.3398999999999</v>
      </c>
      <c r="AA22" s="4">
        <v>1422.8572999999999</v>
      </c>
      <c r="AB22" s="4">
        <v>4596.4826000000003</v>
      </c>
      <c r="AC22" s="4">
        <v>51661.938300000002</v>
      </c>
      <c r="AD22" s="4">
        <v>51661.938300000002</v>
      </c>
      <c r="AE22" s="4">
        <v>0</v>
      </c>
      <c r="AF22" s="4">
        <v>0</v>
      </c>
      <c r="AG22" s="4">
        <v>17764.768700000001</v>
      </c>
    </row>
    <row r="23" spans="1:33" x14ac:dyDescent="0.2">
      <c r="A23" s="3">
        <v>39326</v>
      </c>
      <c r="B23" s="4">
        <v>81174.208899999998</v>
      </c>
      <c r="C23" s="4">
        <v>2770.0291000000002</v>
      </c>
      <c r="D23" s="4">
        <v>1072.2462</v>
      </c>
      <c r="E23" s="4">
        <v>1697.7828999999999</v>
      </c>
      <c r="F23" s="5">
        <v>541.17740000000003</v>
      </c>
      <c r="G23" s="4">
        <v>23.660399999999999</v>
      </c>
      <c r="H23" s="4">
        <v>517.51700000000005</v>
      </c>
      <c r="I23" s="4">
        <v>161.98699999999999</v>
      </c>
      <c r="J23" s="5">
        <v>2380.4398000000001</v>
      </c>
      <c r="K23" s="4">
        <v>427.72910000000002</v>
      </c>
      <c r="L23" s="4">
        <v>1952.7108000000001</v>
      </c>
      <c r="M23" s="4">
        <v>56722.988599999997</v>
      </c>
      <c r="N23" s="4">
        <v>55484.306199999999</v>
      </c>
      <c r="O23" s="4">
        <v>749.44129999999996</v>
      </c>
      <c r="P23" s="4">
        <v>489.24099999999999</v>
      </c>
      <c r="Q23" s="4">
        <v>539.47540000000004</v>
      </c>
      <c r="R23" s="4">
        <v>18058.1116</v>
      </c>
      <c r="S23" s="4">
        <v>3711.7719000000002</v>
      </c>
      <c r="T23" s="4">
        <v>77462.437000000005</v>
      </c>
      <c r="U23" s="4">
        <v>0.98609999999999998</v>
      </c>
      <c r="V23" s="4">
        <v>0.98609999999999998</v>
      </c>
      <c r="W23" s="4">
        <v>2891.7685000000001</v>
      </c>
      <c r="X23" s="4">
        <v>62.126899999999999</v>
      </c>
      <c r="Y23" s="4">
        <v>2829.6415999999999</v>
      </c>
      <c r="Z23" s="4">
        <v>6222.8532999999998</v>
      </c>
      <c r="AA23" s="4">
        <v>1479.5392999999999</v>
      </c>
      <c r="AB23" s="4">
        <v>4743.3140000000003</v>
      </c>
      <c r="AC23" s="4">
        <v>51100.81</v>
      </c>
      <c r="AD23" s="4">
        <v>51100.81</v>
      </c>
      <c r="AE23" s="4">
        <v>0</v>
      </c>
      <c r="AF23" s="4">
        <v>0</v>
      </c>
      <c r="AG23" s="4">
        <v>17246.019100000001</v>
      </c>
    </row>
    <row r="24" spans="1:33" x14ac:dyDescent="0.2">
      <c r="A24" s="3">
        <v>39417</v>
      </c>
      <c r="B24" s="4">
        <v>81211.3416</v>
      </c>
      <c r="C24" s="4">
        <v>2936.2136</v>
      </c>
      <c r="D24" s="4">
        <v>1110.7954999999999</v>
      </c>
      <c r="E24" s="4">
        <v>1825.4181000000001</v>
      </c>
      <c r="F24" s="5">
        <v>551.84770000000003</v>
      </c>
      <c r="G24" s="4">
        <v>18.628399999999999</v>
      </c>
      <c r="H24" s="4">
        <v>533.2192</v>
      </c>
      <c r="I24" s="4">
        <v>165.0532</v>
      </c>
      <c r="J24" s="5">
        <v>2609.8960999999999</v>
      </c>
      <c r="K24" s="4">
        <v>481.40280000000001</v>
      </c>
      <c r="L24" s="4">
        <v>2128.4933999999998</v>
      </c>
      <c r="M24" s="4">
        <v>55536.9899</v>
      </c>
      <c r="N24" s="4">
        <v>54470.513200000001</v>
      </c>
      <c r="O24" s="4">
        <v>630.34230000000002</v>
      </c>
      <c r="P24" s="4">
        <v>436.13440000000003</v>
      </c>
      <c r="Q24" s="4">
        <v>545.05269999999996</v>
      </c>
      <c r="R24" s="4">
        <v>18866.2883</v>
      </c>
      <c r="S24" s="4">
        <v>3194.498</v>
      </c>
      <c r="T24" s="4">
        <v>78016.843699999998</v>
      </c>
      <c r="U24" s="4">
        <v>1.0369999999999999</v>
      </c>
      <c r="V24" s="4">
        <v>1.0369999999999999</v>
      </c>
      <c r="W24" s="4">
        <v>2999.5048999999999</v>
      </c>
      <c r="X24" s="4">
        <v>63.992100000000001</v>
      </c>
      <c r="Y24" s="4">
        <v>2935.5128</v>
      </c>
      <c r="Z24" s="4">
        <v>6427.8420999999998</v>
      </c>
      <c r="AA24" s="4">
        <v>1516.7131999999999</v>
      </c>
      <c r="AB24" s="4">
        <v>4911.1288999999997</v>
      </c>
      <c r="AC24" s="4">
        <v>50953.268600000003</v>
      </c>
      <c r="AD24" s="4">
        <v>50953.268600000003</v>
      </c>
      <c r="AE24" s="4">
        <v>0</v>
      </c>
      <c r="AF24" s="4">
        <v>0</v>
      </c>
      <c r="AG24" s="4">
        <v>17635.1911</v>
      </c>
    </row>
    <row r="25" spans="1:33" x14ac:dyDescent="0.2">
      <c r="A25" s="3">
        <v>39508</v>
      </c>
      <c r="B25" s="4">
        <v>76639.297600000005</v>
      </c>
      <c r="C25" s="4">
        <v>2861.6064000000001</v>
      </c>
      <c r="D25" s="4">
        <v>1204.6277</v>
      </c>
      <c r="E25" s="4">
        <v>1656.9786999999999</v>
      </c>
      <c r="F25" s="5">
        <v>567.30319999999995</v>
      </c>
      <c r="G25" s="4">
        <v>24.5245</v>
      </c>
      <c r="H25" s="4">
        <v>542.77869999999996</v>
      </c>
      <c r="I25" s="4">
        <v>179.69919999999999</v>
      </c>
      <c r="J25" s="5">
        <v>2720.6208999999999</v>
      </c>
      <c r="K25" s="4">
        <v>501.48590000000002</v>
      </c>
      <c r="L25" s="4">
        <v>2219.1350000000002</v>
      </c>
      <c r="M25" s="4">
        <v>52435.640700000004</v>
      </c>
      <c r="N25" s="4">
        <v>51332.101199999997</v>
      </c>
      <c r="O25" s="4">
        <v>672.74689999999998</v>
      </c>
      <c r="P25" s="4">
        <v>430.79259999999999</v>
      </c>
      <c r="Q25" s="4">
        <v>524.08399999999995</v>
      </c>
      <c r="R25" s="4">
        <v>17350.343000000001</v>
      </c>
      <c r="S25" s="4">
        <v>3388.6080999999999</v>
      </c>
      <c r="T25" s="4">
        <v>73250.689499999993</v>
      </c>
      <c r="U25" s="4">
        <v>0.88080000000000003</v>
      </c>
      <c r="V25" s="4">
        <v>0.88080000000000003</v>
      </c>
      <c r="W25" s="4">
        <v>3070.7239</v>
      </c>
      <c r="X25" s="4">
        <v>66.005499999999998</v>
      </c>
      <c r="Y25" s="4">
        <v>3004.7184000000002</v>
      </c>
      <c r="Z25" s="4">
        <v>6422.4928</v>
      </c>
      <c r="AA25" s="4">
        <v>1549.3979999999999</v>
      </c>
      <c r="AB25" s="4">
        <v>4873.0946999999996</v>
      </c>
      <c r="AC25" s="4">
        <v>48308.559300000001</v>
      </c>
      <c r="AD25" s="4">
        <v>48308.559300000001</v>
      </c>
      <c r="AE25" s="4">
        <v>0</v>
      </c>
      <c r="AF25" s="4">
        <v>0</v>
      </c>
      <c r="AG25" s="4">
        <v>15448.0327</v>
      </c>
    </row>
    <row r="26" spans="1:33" x14ac:dyDescent="0.2">
      <c r="A26" s="3">
        <v>39600</v>
      </c>
      <c r="B26" s="4">
        <v>82783.483500000002</v>
      </c>
      <c r="C26" s="4">
        <v>3035.8022999999998</v>
      </c>
      <c r="D26" s="4">
        <v>1253.5662</v>
      </c>
      <c r="E26" s="4">
        <v>1782.2361000000001</v>
      </c>
      <c r="F26" s="5">
        <v>604.66980000000001</v>
      </c>
      <c r="G26" s="4">
        <v>21.662099999999999</v>
      </c>
      <c r="H26" s="4">
        <v>583.0077</v>
      </c>
      <c r="I26" s="4">
        <v>178.6979</v>
      </c>
      <c r="J26" s="5">
        <v>2799.3865000000001</v>
      </c>
      <c r="K26" s="4">
        <v>521.86839999999995</v>
      </c>
      <c r="L26" s="4">
        <v>2277.5180999999998</v>
      </c>
      <c r="M26" s="4">
        <v>56979.658199999998</v>
      </c>
      <c r="N26" s="4">
        <v>55742.235099999998</v>
      </c>
      <c r="O26" s="4">
        <v>727.51980000000003</v>
      </c>
      <c r="P26" s="4">
        <v>509.9033</v>
      </c>
      <c r="Q26" s="4">
        <v>549.61109999999996</v>
      </c>
      <c r="R26" s="4">
        <v>18635.6577</v>
      </c>
      <c r="S26" s="4">
        <v>3816.8110000000001</v>
      </c>
      <c r="T26" s="4">
        <v>78966.672500000001</v>
      </c>
      <c r="U26" s="4">
        <v>0.72460000000000002</v>
      </c>
      <c r="V26" s="4">
        <v>0.72460000000000002</v>
      </c>
      <c r="W26" s="4">
        <v>3004.2919999999999</v>
      </c>
      <c r="X26" s="4">
        <v>95.075999999999993</v>
      </c>
      <c r="Y26" s="4">
        <v>2909.2159999999999</v>
      </c>
      <c r="Z26" s="4">
        <v>6690.3431</v>
      </c>
      <c r="AA26" s="4">
        <v>1821.3919000000001</v>
      </c>
      <c r="AB26" s="4">
        <v>4868.9512000000004</v>
      </c>
      <c r="AC26" s="4">
        <v>53098.139900000002</v>
      </c>
      <c r="AD26" s="4">
        <v>53098.139900000002</v>
      </c>
      <c r="AE26" s="4">
        <v>0</v>
      </c>
      <c r="AF26" s="4">
        <v>0</v>
      </c>
      <c r="AG26" s="4">
        <v>16173.1729</v>
      </c>
    </row>
    <row r="27" spans="1:33" x14ac:dyDescent="0.2">
      <c r="A27" s="3">
        <v>39692</v>
      </c>
      <c r="B27" s="4">
        <v>86171.137900000002</v>
      </c>
      <c r="C27" s="4">
        <v>3141.8606</v>
      </c>
      <c r="D27" s="4">
        <v>1289.5600999999999</v>
      </c>
      <c r="E27" s="4">
        <v>1852.3005000000001</v>
      </c>
      <c r="F27" s="5">
        <v>611.63379999999995</v>
      </c>
      <c r="G27" s="4">
        <v>28.2441</v>
      </c>
      <c r="H27" s="4">
        <v>583.38969999999995</v>
      </c>
      <c r="I27" s="4">
        <v>201.15219999999999</v>
      </c>
      <c r="J27" s="5">
        <v>2883.0994000000001</v>
      </c>
      <c r="K27" s="4">
        <v>549.76769999999999</v>
      </c>
      <c r="L27" s="4">
        <v>2333.3317000000002</v>
      </c>
      <c r="M27" s="4">
        <v>58499.858399999997</v>
      </c>
      <c r="N27" s="4">
        <v>57243.065999999999</v>
      </c>
      <c r="O27" s="4">
        <v>746.55539999999996</v>
      </c>
      <c r="P27" s="4">
        <v>510.23700000000002</v>
      </c>
      <c r="Q27" s="4">
        <v>502.13440000000003</v>
      </c>
      <c r="R27" s="4">
        <v>20331.399000000001</v>
      </c>
      <c r="S27" s="4">
        <v>4275.3531000000003</v>
      </c>
      <c r="T27" s="4">
        <v>81895.784799999994</v>
      </c>
      <c r="U27" s="4">
        <v>0.56669999999999998</v>
      </c>
      <c r="V27" s="4">
        <v>0.56669999999999998</v>
      </c>
      <c r="W27" s="4">
        <v>3030.2712000000001</v>
      </c>
      <c r="X27" s="4">
        <v>187.9359</v>
      </c>
      <c r="Y27" s="4">
        <v>2842.3353000000002</v>
      </c>
      <c r="Z27" s="4">
        <v>6870.7682000000004</v>
      </c>
      <c r="AA27" s="4">
        <v>1929.4205999999999</v>
      </c>
      <c r="AB27" s="4">
        <v>4941.3477000000003</v>
      </c>
      <c r="AC27" s="4">
        <v>54821.897900000004</v>
      </c>
      <c r="AD27" s="4">
        <v>54821.897900000004</v>
      </c>
      <c r="AE27" s="4">
        <v>0</v>
      </c>
      <c r="AF27" s="4">
        <v>0</v>
      </c>
      <c r="AG27" s="4">
        <v>17172.280699999999</v>
      </c>
    </row>
    <row r="28" spans="1:33" x14ac:dyDescent="0.2">
      <c r="A28" s="3">
        <v>39783</v>
      </c>
      <c r="B28" s="4">
        <v>90323.319000000003</v>
      </c>
      <c r="C28" s="4">
        <v>3655.0059999999999</v>
      </c>
      <c r="D28" s="4">
        <v>1359.2748999999999</v>
      </c>
      <c r="E28" s="4">
        <v>2295.7312000000002</v>
      </c>
      <c r="F28" s="5">
        <v>602.04020000000003</v>
      </c>
      <c r="G28" s="4">
        <v>39.541499999999999</v>
      </c>
      <c r="H28" s="4">
        <v>562.49869999999999</v>
      </c>
      <c r="I28" s="4">
        <v>218.0472</v>
      </c>
      <c r="J28" s="5">
        <v>2916.9290999999998</v>
      </c>
      <c r="K28" s="4">
        <v>574.57569999999998</v>
      </c>
      <c r="L28" s="4">
        <v>2342.3534</v>
      </c>
      <c r="M28" s="4">
        <v>60032.9928</v>
      </c>
      <c r="N28" s="4">
        <v>58749.345800000003</v>
      </c>
      <c r="O28" s="4">
        <v>754.12049999999999</v>
      </c>
      <c r="P28" s="4">
        <v>529.52650000000006</v>
      </c>
      <c r="Q28" s="4">
        <v>461.0659</v>
      </c>
      <c r="R28" s="4">
        <v>22437.237700000001</v>
      </c>
      <c r="S28" s="4">
        <v>4491.5977999999996</v>
      </c>
      <c r="T28" s="4">
        <v>85831.7212</v>
      </c>
      <c r="U28" s="4">
        <v>0.4088</v>
      </c>
      <c r="V28" s="4">
        <v>0.4088</v>
      </c>
      <c r="W28" s="4">
        <v>2990.9322000000002</v>
      </c>
      <c r="X28" s="4">
        <v>250.6096</v>
      </c>
      <c r="Y28" s="4">
        <v>2740.3225000000002</v>
      </c>
      <c r="Z28" s="4">
        <v>7116.5621000000001</v>
      </c>
      <c r="AA28" s="4">
        <v>2080.4443999999999</v>
      </c>
      <c r="AB28" s="4">
        <v>5036.1176999999998</v>
      </c>
      <c r="AC28" s="4">
        <v>57396.7955</v>
      </c>
      <c r="AD28" s="4">
        <v>57396.7955</v>
      </c>
      <c r="AE28" s="4">
        <v>0</v>
      </c>
      <c r="AF28" s="4">
        <v>0</v>
      </c>
      <c r="AG28" s="4">
        <v>18327.0226</v>
      </c>
    </row>
    <row r="29" spans="1:33" x14ac:dyDescent="0.2">
      <c r="A29" s="3">
        <v>39873</v>
      </c>
      <c r="B29" s="4">
        <v>89152.710900000005</v>
      </c>
      <c r="C29" s="4">
        <v>3379.5691000000002</v>
      </c>
      <c r="D29" s="4">
        <v>1334.385</v>
      </c>
      <c r="E29" s="4">
        <v>2045.184</v>
      </c>
      <c r="F29" s="5">
        <v>692.97739999999999</v>
      </c>
      <c r="G29" s="4">
        <v>60.186799999999998</v>
      </c>
      <c r="H29" s="4">
        <v>632.79060000000004</v>
      </c>
      <c r="I29" s="4">
        <v>213.095</v>
      </c>
      <c r="J29" s="5">
        <v>2915.5767000000001</v>
      </c>
      <c r="K29" s="4">
        <v>587.18020000000001</v>
      </c>
      <c r="L29" s="4">
        <v>2328.3964999999998</v>
      </c>
      <c r="M29" s="4">
        <v>60148.0317</v>
      </c>
      <c r="N29" s="4">
        <v>58520.532399999996</v>
      </c>
      <c r="O29" s="4">
        <v>981.67250000000001</v>
      </c>
      <c r="P29" s="4">
        <v>645.82690000000002</v>
      </c>
      <c r="Q29" s="4">
        <v>471.99849999999998</v>
      </c>
      <c r="R29" s="4">
        <v>21331.462599999999</v>
      </c>
      <c r="S29" s="4">
        <v>3779.4124000000002</v>
      </c>
      <c r="T29" s="4">
        <v>85373.298500000004</v>
      </c>
      <c r="U29" s="4">
        <v>0.41249999999999998</v>
      </c>
      <c r="V29" s="4">
        <v>0.41249999999999998</v>
      </c>
      <c r="W29" s="4">
        <v>3210.4643999999998</v>
      </c>
      <c r="X29" s="4">
        <v>243.12459999999999</v>
      </c>
      <c r="Y29" s="4">
        <v>2967.3398000000002</v>
      </c>
      <c r="Z29" s="4">
        <v>6938.7082</v>
      </c>
      <c r="AA29" s="4">
        <v>1809.7302</v>
      </c>
      <c r="AB29" s="4">
        <v>5128.9781000000003</v>
      </c>
      <c r="AC29" s="4">
        <v>57438.565799999997</v>
      </c>
      <c r="AD29" s="4">
        <v>57438.565799999997</v>
      </c>
      <c r="AE29" s="4">
        <v>0</v>
      </c>
      <c r="AF29" s="4">
        <v>0</v>
      </c>
      <c r="AG29" s="4">
        <v>17785.147499999999</v>
      </c>
    </row>
    <row r="30" spans="1:33" x14ac:dyDescent="0.2">
      <c r="A30" s="3">
        <v>39965</v>
      </c>
      <c r="B30" s="4">
        <v>91811.848299999998</v>
      </c>
      <c r="C30" s="4">
        <v>3551.4135000000001</v>
      </c>
      <c r="D30" s="4">
        <v>1539.4920999999999</v>
      </c>
      <c r="E30" s="4">
        <v>2011.9214999999999</v>
      </c>
      <c r="F30" s="5">
        <v>676.34259999999995</v>
      </c>
      <c r="G30" s="4">
        <v>106.94070000000001</v>
      </c>
      <c r="H30" s="4">
        <v>569.40189999999996</v>
      </c>
      <c r="I30" s="4">
        <v>221.7912</v>
      </c>
      <c r="J30" s="5">
        <v>2895.4126000000001</v>
      </c>
      <c r="K30" s="4">
        <v>578.15300000000002</v>
      </c>
      <c r="L30" s="4">
        <v>2317.2595999999999</v>
      </c>
      <c r="M30" s="4">
        <v>63063.560799999999</v>
      </c>
      <c r="N30" s="4">
        <v>61304.453800000003</v>
      </c>
      <c r="O30" s="4">
        <v>1088.8581999999999</v>
      </c>
      <c r="P30" s="4">
        <v>670.24879999999996</v>
      </c>
      <c r="Q30" s="4">
        <v>523.32569999999998</v>
      </c>
      <c r="R30" s="4">
        <v>20880.001899999999</v>
      </c>
      <c r="S30" s="4">
        <v>4229.3585000000003</v>
      </c>
      <c r="T30" s="4">
        <v>87582.489799999996</v>
      </c>
      <c r="U30" s="4">
        <v>0.41620000000000001</v>
      </c>
      <c r="V30" s="4">
        <v>0.41620000000000001</v>
      </c>
      <c r="W30" s="4">
        <v>3255.5717</v>
      </c>
      <c r="X30" s="4">
        <v>272.42700000000002</v>
      </c>
      <c r="Y30" s="4">
        <v>2983.1446999999998</v>
      </c>
      <c r="Z30" s="4">
        <v>6725.7478000000001</v>
      </c>
      <c r="AA30" s="4">
        <v>1512.6311000000001</v>
      </c>
      <c r="AB30" s="4">
        <v>5213.1166999999996</v>
      </c>
      <c r="AC30" s="4">
        <v>60294.375699999997</v>
      </c>
      <c r="AD30" s="4">
        <v>60294.375699999997</v>
      </c>
      <c r="AE30" s="4">
        <v>0</v>
      </c>
      <c r="AF30" s="4">
        <v>0</v>
      </c>
      <c r="AG30" s="4">
        <v>17306.378400000001</v>
      </c>
    </row>
    <row r="31" spans="1:33" x14ac:dyDescent="0.2">
      <c r="A31" s="3">
        <v>40057</v>
      </c>
      <c r="B31" s="4">
        <v>95419.040399999998</v>
      </c>
      <c r="C31" s="4">
        <v>3438.4663</v>
      </c>
      <c r="D31" s="4">
        <v>1518.0186000000001</v>
      </c>
      <c r="E31" s="4">
        <v>1920.4476999999999</v>
      </c>
      <c r="F31" s="5">
        <v>463.49450000000002</v>
      </c>
      <c r="G31" s="4">
        <v>7.0742000000000003</v>
      </c>
      <c r="H31" s="4">
        <v>456.4203</v>
      </c>
      <c r="I31" s="4">
        <v>218.48150000000001</v>
      </c>
      <c r="J31" s="5">
        <v>2939.6716000000001</v>
      </c>
      <c r="K31" s="4">
        <v>570.43280000000004</v>
      </c>
      <c r="L31" s="4">
        <v>2369.2388000000001</v>
      </c>
      <c r="M31" s="4">
        <v>66077.834099999993</v>
      </c>
      <c r="N31" s="4">
        <v>64418.822399999997</v>
      </c>
      <c r="O31" s="4">
        <v>1016.7782</v>
      </c>
      <c r="P31" s="4">
        <v>642.23339999999996</v>
      </c>
      <c r="Q31" s="4">
        <v>573.49379999999996</v>
      </c>
      <c r="R31" s="4">
        <v>21707.5985</v>
      </c>
      <c r="S31" s="4">
        <v>3574.6342</v>
      </c>
      <c r="T31" s="4">
        <v>91844.406199999998</v>
      </c>
      <c r="U31" s="4">
        <v>0.42</v>
      </c>
      <c r="V31" s="4">
        <v>0.42</v>
      </c>
      <c r="W31" s="4">
        <v>3543.4252999999999</v>
      </c>
      <c r="X31" s="4">
        <v>280.28809999999999</v>
      </c>
      <c r="Y31" s="4">
        <v>3263.1372000000001</v>
      </c>
      <c r="Z31" s="4">
        <v>6475.0953</v>
      </c>
      <c r="AA31" s="4">
        <v>1310.1833999999999</v>
      </c>
      <c r="AB31" s="4">
        <v>5164.9119000000001</v>
      </c>
      <c r="AC31" s="4">
        <v>63873.098400000003</v>
      </c>
      <c r="AD31" s="4">
        <v>63873.098400000003</v>
      </c>
      <c r="AE31" s="4">
        <v>0</v>
      </c>
      <c r="AF31" s="4">
        <v>0</v>
      </c>
      <c r="AG31" s="4">
        <v>17952.367200000001</v>
      </c>
    </row>
    <row r="32" spans="1:33" x14ac:dyDescent="0.2">
      <c r="A32" s="3">
        <v>40148</v>
      </c>
      <c r="B32" s="4">
        <v>97576.865300000005</v>
      </c>
      <c r="C32" s="4">
        <v>3816.7856999999999</v>
      </c>
      <c r="D32" s="4">
        <v>1648.3607</v>
      </c>
      <c r="E32" s="4">
        <v>2168.4250000000002</v>
      </c>
      <c r="F32" s="5">
        <v>360.1651</v>
      </c>
      <c r="G32" s="4">
        <v>3.2589999999999999</v>
      </c>
      <c r="H32" s="4">
        <v>356.90609999999998</v>
      </c>
      <c r="I32" s="4">
        <v>214.5446</v>
      </c>
      <c r="J32" s="5">
        <v>2909.5095000000001</v>
      </c>
      <c r="K32" s="4">
        <v>567.85090000000002</v>
      </c>
      <c r="L32" s="4">
        <v>2341.6586000000002</v>
      </c>
      <c r="M32" s="4">
        <v>67333.359800000006</v>
      </c>
      <c r="N32" s="4">
        <v>65815.042700000005</v>
      </c>
      <c r="O32" s="4">
        <v>943.50250000000005</v>
      </c>
      <c r="P32" s="4">
        <v>574.81460000000004</v>
      </c>
      <c r="Q32" s="4">
        <v>589.62879999999996</v>
      </c>
      <c r="R32" s="4">
        <v>22352.8717</v>
      </c>
      <c r="S32" s="4">
        <v>3748.2424999999998</v>
      </c>
      <c r="T32" s="4">
        <v>93828.622700000007</v>
      </c>
      <c r="U32" s="4">
        <v>0.42370000000000002</v>
      </c>
      <c r="V32" s="4">
        <v>0.42370000000000002</v>
      </c>
      <c r="W32" s="4">
        <v>3768.2891</v>
      </c>
      <c r="X32" s="4">
        <v>208.85759999999999</v>
      </c>
      <c r="Y32" s="4">
        <v>3559.4315000000001</v>
      </c>
      <c r="Z32" s="4">
        <v>6441.8281999999999</v>
      </c>
      <c r="AA32" s="4">
        <v>1206.7771</v>
      </c>
      <c r="AB32" s="4">
        <v>5235.0510999999997</v>
      </c>
      <c r="AC32" s="4">
        <v>65141.210500000001</v>
      </c>
      <c r="AD32" s="4">
        <v>65141.210500000001</v>
      </c>
      <c r="AE32" s="4">
        <v>0</v>
      </c>
      <c r="AF32" s="4">
        <v>0</v>
      </c>
      <c r="AG32" s="4">
        <v>18476.871200000001</v>
      </c>
    </row>
    <row r="33" spans="1:33" x14ac:dyDescent="0.2">
      <c r="A33" s="3">
        <v>40238</v>
      </c>
      <c r="B33" s="4">
        <v>100869.30439999999</v>
      </c>
      <c r="C33" s="4">
        <v>3805.1738</v>
      </c>
      <c r="D33" s="4">
        <v>1708.6878999999999</v>
      </c>
      <c r="E33" s="4">
        <v>2096.4859000000001</v>
      </c>
      <c r="F33" s="5">
        <v>376.74279999999999</v>
      </c>
      <c r="G33" s="4">
        <v>4.9264999999999999</v>
      </c>
      <c r="H33" s="4">
        <v>371.81630000000001</v>
      </c>
      <c r="I33" s="4">
        <v>222.24969999999999</v>
      </c>
      <c r="J33" s="5">
        <v>3010.3820999999998</v>
      </c>
      <c r="K33" s="4">
        <v>600.69590000000005</v>
      </c>
      <c r="L33" s="4">
        <v>2409.6862999999998</v>
      </c>
      <c r="M33" s="4">
        <v>70154.292600000001</v>
      </c>
      <c r="N33" s="4">
        <v>68531.196899999995</v>
      </c>
      <c r="O33" s="4">
        <v>992.30020000000002</v>
      </c>
      <c r="P33" s="4">
        <v>630.79560000000004</v>
      </c>
      <c r="Q33" s="4">
        <v>618.03440000000001</v>
      </c>
      <c r="R33" s="4">
        <v>22682.428899999999</v>
      </c>
      <c r="S33" s="4">
        <v>3617.7195000000002</v>
      </c>
      <c r="T33" s="4">
        <v>97251.584900000002</v>
      </c>
      <c r="U33" s="4">
        <v>0.42530000000000001</v>
      </c>
      <c r="V33" s="4">
        <v>0.42530000000000001</v>
      </c>
      <c r="W33" s="4">
        <v>3843.2323999999999</v>
      </c>
      <c r="X33" s="4">
        <v>197.4641</v>
      </c>
      <c r="Y33" s="4">
        <v>3645.7683000000002</v>
      </c>
      <c r="Z33" s="4">
        <v>6584.3283000000001</v>
      </c>
      <c r="AA33" s="4">
        <v>1422.922</v>
      </c>
      <c r="AB33" s="4">
        <v>5161.4063999999998</v>
      </c>
      <c r="AC33" s="4">
        <v>68080.456300000005</v>
      </c>
      <c r="AD33" s="4">
        <v>68080.456300000005</v>
      </c>
      <c r="AE33" s="4">
        <v>0</v>
      </c>
      <c r="AF33" s="4">
        <v>0</v>
      </c>
      <c r="AG33" s="4">
        <v>18743.142599999999</v>
      </c>
    </row>
    <row r="34" spans="1:33" x14ac:dyDescent="0.2">
      <c r="A34" s="3">
        <v>40330</v>
      </c>
      <c r="B34" s="4">
        <v>104302.5543</v>
      </c>
      <c r="C34" s="4">
        <v>3659.5771</v>
      </c>
      <c r="D34" s="4">
        <v>1648.2774999999999</v>
      </c>
      <c r="E34" s="4">
        <v>2011.2996000000001</v>
      </c>
      <c r="F34" s="5">
        <v>375.25389999999999</v>
      </c>
      <c r="G34" s="4">
        <v>2.9409999999999998</v>
      </c>
      <c r="H34" s="4">
        <v>372.31290000000001</v>
      </c>
      <c r="I34" s="4">
        <v>224.59889999999999</v>
      </c>
      <c r="J34" s="5">
        <v>3021.5799000000002</v>
      </c>
      <c r="K34" s="4">
        <v>612.5444</v>
      </c>
      <c r="L34" s="4">
        <v>2409.0355</v>
      </c>
      <c r="M34" s="4">
        <v>73089.059500000003</v>
      </c>
      <c r="N34" s="4">
        <v>71583.4087</v>
      </c>
      <c r="O34" s="4">
        <v>870.43420000000003</v>
      </c>
      <c r="P34" s="4">
        <v>635.21659999999997</v>
      </c>
      <c r="Q34" s="4">
        <v>620.35509999999999</v>
      </c>
      <c r="R34" s="4">
        <v>23312.130099999998</v>
      </c>
      <c r="S34" s="4">
        <v>3820.2372999999998</v>
      </c>
      <c r="T34" s="4">
        <v>100482.317</v>
      </c>
      <c r="U34" s="4">
        <v>0.4269</v>
      </c>
      <c r="V34" s="4">
        <v>0.4269</v>
      </c>
      <c r="W34" s="4">
        <v>3991.8989999999999</v>
      </c>
      <c r="X34" s="4">
        <v>187.58349999999999</v>
      </c>
      <c r="Y34" s="4">
        <v>3804.3155000000002</v>
      </c>
      <c r="Z34" s="4">
        <v>6659.5995000000003</v>
      </c>
      <c r="AA34" s="4">
        <v>1703.6106</v>
      </c>
      <c r="AB34" s="4">
        <v>4955.9889000000003</v>
      </c>
      <c r="AC34" s="4">
        <v>70949.439100000003</v>
      </c>
      <c r="AD34" s="4">
        <v>70949.439100000003</v>
      </c>
      <c r="AE34" s="4">
        <v>0</v>
      </c>
      <c r="AF34" s="4">
        <v>0</v>
      </c>
      <c r="AG34" s="4">
        <v>18880.952499999999</v>
      </c>
    </row>
    <row r="35" spans="1:33" x14ac:dyDescent="0.2">
      <c r="A35" s="3">
        <v>40422</v>
      </c>
      <c r="B35" s="4">
        <v>109569.04489999999</v>
      </c>
      <c r="C35" s="4">
        <v>3730.6895</v>
      </c>
      <c r="D35" s="4">
        <v>1525.0794000000001</v>
      </c>
      <c r="E35" s="4">
        <v>2205.6100999999999</v>
      </c>
      <c r="F35" s="5">
        <v>392.43380000000002</v>
      </c>
      <c r="G35" s="4">
        <v>26.680299999999999</v>
      </c>
      <c r="H35" s="4">
        <v>365.75349999999997</v>
      </c>
      <c r="I35" s="4">
        <v>225.7825</v>
      </c>
      <c r="J35" s="5">
        <v>3005.5790000000002</v>
      </c>
      <c r="K35" s="4">
        <v>620.0059</v>
      </c>
      <c r="L35" s="4">
        <v>2385.5731000000001</v>
      </c>
      <c r="M35" s="4">
        <v>77788.0959</v>
      </c>
      <c r="N35" s="4">
        <v>76332.959700000007</v>
      </c>
      <c r="O35" s="4">
        <v>855.60569999999996</v>
      </c>
      <c r="P35" s="4">
        <v>599.53039999999999</v>
      </c>
      <c r="Q35" s="4">
        <v>661.76199999999994</v>
      </c>
      <c r="R35" s="4">
        <v>23764.702300000001</v>
      </c>
      <c r="S35" s="4">
        <v>5225.3958000000002</v>
      </c>
      <c r="T35" s="4">
        <v>104343.6491</v>
      </c>
      <c r="U35" s="4">
        <v>0.42849999999999999</v>
      </c>
      <c r="V35" s="4">
        <v>0.42849999999999999</v>
      </c>
      <c r="W35" s="4">
        <v>3865.9812999999999</v>
      </c>
      <c r="X35" s="4">
        <v>101.2347</v>
      </c>
      <c r="Y35" s="4">
        <v>3764.7465999999999</v>
      </c>
      <c r="Z35" s="4">
        <v>6672.7106000000003</v>
      </c>
      <c r="AA35" s="4">
        <v>1642.6319000000001</v>
      </c>
      <c r="AB35" s="4">
        <v>5030.0787</v>
      </c>
      <c r="AC35" s="4">
        <v>74777.315499999997</v>
      </c>
      <c r="AD35" s="4">
        <v>74777.315499999997</v>
      </c>
      <c r="AE35" s="4">
        <v>0</v>
      </c>
      <c r="AF35" s="4">
        <v>0</v>
      </c>
      <c r="AG35" s="4">
        <v>19027.213299999999</v>
      </c>
    </row>
    <row r="36" spans="1:33" x14ac:dyDescent="0.2">
      <c r="A36" s="3">
        <v>40513</v>
      </c>
      <c r="B36" s="4">
        <v>111647.3846</v>
      </c>
      <c r="C36" s="4">
        <v>3977.0308</v>
      </c>
      <c r="D36" s="4">
        <v>1674.5074999999999</v>
      </c>
      <c r="E36" s="4">
        <v>2302.5232999999998</v>
      </c>
      <c r="F36" s="5">
        <v>369.88229999999999</v>
      </c>
      <c r="G36" s="4">
        <v>22.244299999999999</v>
      </c>
      <c r="H36" s="4">
        <v>347.63799999999998</v>
      </c>
      <c r="I36" s="4">
        <v>232.0778</v>
      </c>
      <c r="J36" s="5">
        <v>3112.5738999999999</v>
      </c>
      <c r="K36" s="4">
        <v>665.35019999999997</v>
      </c>
      <c r="L36" s="4">
        <v>2447.2237</v>
      </c>
      <c r="M36" s="4">
        <v>78725.826000000001</v>
      </c>
      <c r="N36" s="4">
        <v>77143.430399999997</v>
      </c>
      <c r="O36" s="4">
        <v>946.04129999999998</v>
      </c>
      <c r="P36" s="4">
        <v>636.35429999999997</v>
      </c>
      <c r="Q36" s="4">
        <v>685.47059999999999</v>
      </c>
      <c r="R36" s="4">
        <v>24544.5232</v>
      </c>
      <c r="S36" s="4">
        <v>4758.1508999999996</v>
      </c>
      <c r="T36" s="4">
        <v>106889.2337</v>
      </c>
      <c r="U36" s="4">
        <v>0.43020000000000003</v>
      </c>
      <c r="V36" s="4">
        <v>0.43020000000000003</v>
      </c>
      <c r="W36" s="4">
        <v>3868.9097999999999</v>
      </c>
      <c r="X36" s="4">
        <v>109.4084</v>
      </c>
      <c r="Y36" s="4">
        <v>3759.5014000000001</v>
      </c>
      <c r="Z36" s="4">
        <v>6750.5626000000002</v>
      </c>
      <c r="AA36" s="4">
        <v>1577.0763999999999</v>
      </c>
      <c r="AB36" s="4">
        <v>5173.4862000000003</v>
      </c>
      <c r="AC36" s="4">
        <v>77073.401299999998</v>
      </c>
      <c r="AD36" s="4">
        <v>77073.401299999998</v>
      </c>
      <c r="AE36" s="4">
        <v>0</v>
      </c>
      <c r="AF36" s="4">
        <v>0</v>
      </c>
      <c r="AG36" s="4">
        <v>19195.929899999999</v>
      </c>
    </row>
    <row r="37" spans="1:33" x14ac:dyDescent="0.2">
      <c r="A37" s="3">
        <v>40603</v>
      </c>
      <c r="B37" s="4">
        <v>111115.97749999999</v>
      </c>
      <c r="C37" s="4">
        <v>4034.2734999999998</v>
      </c>
      <c r="D37" s="4">
        <v>1579.6497999999999</v>
      </c>
      <c r="E37" s="4">
        <v>2454.6237000000001</v>
      </c>
      <c r="F37" s="5">
        <v>424.86649999999997</v>
      </c>
      <c r="G37" s="4">
        <v>14.0966</v>
      </c>
      <c r="H37" s="4">
        <v>410.77</v>
      </c>
      <c r="I37" s="4">
        <v>252.7346</v>
      </c>
      <c r="J37" s="5">
        <v>3142.5214999999998</v>
      </c>
      <c r="K37" s="4">
        <v>676.71990000000005</v>
      </c>
      <c r="L37" s="4">
        <v>2465.8015999999998</v>
      </c>
      <c r="M37" s="4">
        <v>78235.443499999994</v>
      </c>
      <c r="N37" s="4">
        <v>76513.484500000006</v>
      </c>
      <c r="O37" s="4">
        <v>1060.6169</v>
      </c>
      <c r="P37" s="4">
        <v>661.34209999999996</v>
      </c>
      <c r="Q37" s="4">
        <v>704.36810000000003</v>
      </c>
      <c r="R37" s="4">
        <v>24321.769799999998</v>
      </c>
      <c r="S37" s="4">
        <v>3121.0862000000002</v>
      </c>
      <c r="T37" s="4">
        <v>107994.8913</v>
      </c>
      <c r="U37" s="4">
        <v>0</v>
      </c>
      <c r="V37" s="4">
        <v>0</v>
      </c>
      <c r="W37" s="4">
        <v>4116.7232999999997</v>
      </c>
      <c r="X37" s="4">
        <v>116.56910000000001</v>
      </c>
      <c r="Y37" s="4">
        <v>4000.1541999999999</v>
      </c>
      <c r="Z37" s="4">
        <v>7012.0352999999996</v>
      </c>
      <c r="AA37" s="4">
        <v>1497.1081999999999</v>
      </c>
      <c r="AB37" s="4">
        <v>5514.9272000000001</v>
      </c>
      <c r="AC37" s="4">
        <v>77802.103099999993</v>
      </c>
      <c r="AD37" s="4">
        <v>77802.103099999993</v>
      </c>
      <c r="AE37" s="4">
        <v>0</v>
      </c>
      <c r="AF37" s="4">
        <v>0</v>
      </c>
      <c r="AG37" s="4">
        <v>19064.029500000001</v>
      </c>
    </row>
    <row r="38" spans="1:33" x14ac:dyDescent="0.2">
      <c r="A38" s="3">
        <v>40695</v>
      </c>
      <c r="B38" s="4">
        <v>112152.41620000001</v>
      </c>
      <c r="C38" s="4">
        <v>4155.7825000000003</v>
      </c>
      <c r="D38" s="4">
        <v>1663.4166</v>
      </c>
      <c r="E38" s="4">
        <v>2492.3658999999998</v>
      </c>
      <c r="F38" s="5">
        <v>622.69119999999998</v>
      </c>
      <c r="G38" s="4">
        <v>17.139500000000002</v>
      </c>
      <c r="H38" s="4">
        <v>605.55169999999998</v>
      </c>
      <c r="I38" s="4">
        <v>254.64189999999999</v>
      </c>
      <c r="J38" s="5">
        <v>3226.8838999999998</v>
      </c>
      <c r="K38" s="4">
        <v>676.96559999999999</v>
      </c>
      <c r="L38" s="4">
        <v>2549.9184</v>
      </c>
      <c r="M38" s="4">
        <v>79308.200400000002</v>
      </c>
      <c r="N38" s="4">
        <v>77608.230100000001</v>
      </c>
      <c r="O38" s="4">
        <v>1004.451</v>
      </c>
      <c r="P38" s="4">
        <v>695.51930000000004</v>
      </c>
      <c r="Q38" s="4">
        <v>711.7174</v>
      </c>
      <c r="R38" s="4">
        <v>23872.498800000001</v>
      </c>
      <c r="S38" s="4">
        <v>2938.9018000000001</v>
      </c>
      <c r="T38" s="4">
        <v>109213.5144</v>
      </c>
      <c r="U38" s="4">
        <v>0</v>
      </c>
      <c r="V38" s="4">
        <v>0</v>
      </c>
      <c r="W38" s="4">
        <v>4137.8292000000001</v>
      </c>
      <c r="X38" s="4">
        <v>93.972200000000001</v>
      </c>
      <c r="Y38" s="4">
        <v>4043.8571000000002</v>
      </c>
      <c r="Z38" s="4">
        <v>6954.9220999999998</v>
      </c>
      <c r="AA38" s="4">
        <v>1560.5978</v>
      </c>
      <c r="AB38" s="4">
        <v>5394.3244000000004</v>
      </c>
      <c r="AC38" s="4">
        <v>79668.811799999996</v>
      </c>
      <c r="AD38" s="4">
        <v>79668.811799999996</v>
      </c>
      <c r="AE38" s="4">
        <v>0</v>
      </c>
      <c r="AF38" s="4">
        <v>0</v>
      </c>
      <c r="AG38" s="4">
        <v>18451.951300000001</v>
      </c>
    </row>
    <row r="39" spans="1:33" x14ac:dyDescent="0.2">
      <c r="A39" s="3">
        <v>40787</v>
      </c>
      <c r="B39" s="4">
        <v>110580.27929999999</v>
      </c>
      <c r="C39" s="4">
        <v>3965.3728000000001</v>
      </c>
      <c r="D39" s="4">
        <v>1496.9392</v>
      </c>
      <c r="E39" s="4">
        <v>2468.4335999999998</v>
      </c>
      <c r="F39" s="5">
        <v>691.37390000000005</v>
      </c>
      <c r="G39" s="4">
        <v>22.4072</v>
      </c>
      <c r="H39" s="4">
        <v>668.96669999999995</v>
      </c>
      <c r="I39" s="4">
        <v>261.69970000000001</v>
      </c>
      <c r="J39" s="5">
        <v>3231.7037</v>
      </c>
      <c r="K39" s="4">
        <v>682.43780000000004</v>
      </c>
      <c r="L39" s="4">
        <v>2549.2658999999999</v>
      </c>
      <c r="M39" s="4">
        <v>77187.489400000006</v>
      </c>
      <c r="N39" s="4">
        <v>75436.855100000001</v>
      </c>
      <c r="O39" s="4">
        <v>1042.5060000000001</v>
      </c>
      <c r="P39" s="4">
        <v>708.12829999999997</v>
      </c>
      <c r="Q39" s="4">
        <v>674.01649999999995</v>
      </c>
      <c r="R39" s="4">
        <v>24568.623299999999</v>
      </c>
      <c r="S39" s="4">
        <v>912.05690000000004</v>
      </c>
      <c r="T39" s="4">
        <v>109668.2224</v>
      </c>
      <c r="U39" s="4">
        <v>0</v>
      </c>
      <c r="V39" s="4">
        <v>0</v>
      </c>
      <c r="W39" s="4">
        <v>4145.0866999999998</v>
      </c>
      <c r="X39" s="4">
        <v>82.063800000000001</v>
      </c>
      <c r="Y39" s="4">
        <v>4063.0228999999999</v>
      </c>
      <c r="Z39" s="4">
        <v>7030.3293000000003</v>
      </c>
      <c r="AA39" s="4">
        <v>1638.9981</v>
      </c>
      <c r="AB39" s="4">
        <v>5391.3311999999996</v>
      </c>
      <c r="AC39" s="4">
        <v>79982.791800000006</v>
      </c>
      <c r="AD39" s="4">
        <v>79982.791800000006</v>
      </c>
      <c r="AE39" s="4">
        <v>0</v>
      </c>
      <c r="AF39" s="4">
        <v>0</v>
      </c>
      <c r="AG39" s="4">
        <v>18510.014599999999</v>
      </c>
    </row>
    <row r="40" spans="1:33" x14ac:dyDescent="0.2">
      <c r="A40" s="3">
        <v>40878</v>
      </c>
      <c r="B40" s="4">
        <v>119802.7273</v>
      </c>
      <c r="C40" s="4">
        <v>4855.0563000000002</v>
      </c>
      <c r="D40" s="4">
        <v>2058.1104999999998</v>
      </c>
      <c r="E40" s="4">
        <v>2796.9458</v>
      </c>
      <c r="F40" s="5">
        <v>653.41840000000002</v>
      </c>
      <c r="G40" s="4">
        <v>15.0273</v>
      </c>
      <c r="H40" s="4">
        <v>638.39110000000005</v>
      </c>
      <c r="I40" s="4">
        <v>289.66039999999998</v>
      </c>
      <c r="J40" s="5">
        <v>3309.6657</v>
      </c>
      <c r="K40" s="4">
        <v>710.65039999999999</v>
      </c>
      <c r="L40" s="4">
        <v>2599.0153</v>
      </c>
      <c r="M40" s="4">
        <v>82570.206600000005</v>
      </c>
      <c r="N40" s="4">
        <v>80784.049899999998</v>
      </c>
      <c r="O40" s="4">
        <v>1052.6853000000001</v>
      </c>
      <c r="P40" s="4">
        <v>733.47140000000002</v>
      </c>
      <c r="Q40" s="4">
        <v>694.19200000000001</v>
      </c>
      <c r="R40" s="4">
        <v>27430.527900000001</v>
      </c>
      <c r="S40" s="4">
        <v>1083.3189</v>
      </c>
      <c r="T40" s="4">
        <v>118719.4084</v>
      </c>
      <c r="U40" s="4">
        <v>0</v>
      </c>
      <c r="V40" s="4">
        <v>0</v>
      </c>
      <c r="W40" s="4">
        <v>4329.8041999999996</v>
      </c>
      <c r="X40" s="4">
        <v>85.856899999999996</v>
      </c>
      <c r="Y40" s="4">
        <v>4243.9472999999998</v>
      </c>
      <c r="Z40" s="4">
        <v>7826.5564000000004</v>
      </c>
      <c r="AA40" s="4">
        <v>1875.8295000000001</v>
      </c>
      <c r="AB40" s="4">
        <v>5950.7269999999999</v>
      </c>
      <c r="AC40" s="4">
        <v>86267.2353</v>
      </c>
      <c r="AD40" s="4">
        <v>86267.2353</v>
      </c>
      <c r="AE40" s="4">
        <v>0</v>
      </c>
      <c r="AF40" s="4">
        <v>0</v>
      </c>
      <c r="AG40" s="4">
        <v>20295.812399999999</v>
      </c>
    </row>
    <row r="41" spans="1:33" x14ac:dyDescent="0.2">
      <c r="A41" s="3">
        <v>40969</v>
      </c>
      <c r="B41" s="4">
        <v>123163.87579999999</v>
      </c>
      <c r="C41" s="4">
        <v>4861.3842000000004</v>
      </c>
      <c r="D41" s="4">
        <v>1975.6486</v>
      </c>
      <c r="E41" s="4">
        <v>2885.7356</v>
      </c>
      <c r="F41" s="5">
        <v>772.52</v>
      </c>
      <c r="G41" s="4">
        <v>25.1968</v>
      </c>
      <c r="H41" s="4">
        <v>747.32320000000004</v>
      </c>
      <c r="I41" s="4">
        <v>285.94330000000002</v>
      </c>
      <c r="J41" s="5">
        <v>3444.7489</v>
      </c>
      <c r="K41" s="4">
        <v>768.99699999999996</v>
      </c>
      <c r="L41" s="4">
        <v>2675.7519000000002</v>
      </c>
      <c r="M41" s="4">
        <v>85499.938599999994</v>
      </c>
      <c r="N41" s="4">
        <v>83540.3128</v>
      </c>
      <c r="O41" s="4">
        <v>1183.9529</v>
      </c>
      <c r="P41" s="4">
        <v>775.67290000000003</v>
      </c>
      <c r="Q41" s="4">
        <v>732.91729999999995</v>
      </c>
      <c r="R41" s="4">
        <v>27566.423500000001</v>
      </c>
      <c r="S41" s="4">
        <v>3548.4184</v>
      </c>
      <c r="T41" s="4">
        <v>119615.4574</v>
      </c>
      <c r="U41" s="4">
        <v>0</v>
      </c>
      <c r="V41" s="4">
        <v>0</v>
      </c>
      <c r="W41" s="4">
        <v>4166.6629000000003</v>
      </c>
      <c r="X41" s="4">
        <v>87.345200000000006</v>
      </c>
      <c r="Y41" s="4">
        <v>4079.3177999999998</v>
      </c>
      <c r="Z41" s="4">
        <v>8020.5594000000001</v>
      </c>
      <c r="AA41" s="4">
        <v>1946.5496000000001</v>
      </c>
      <c r="AB41" s="4">
        <v>6074.0099</v>
      </c>
      <c r="AC41" s="4">
        <v>86773.894199999995</v>
      </c>
      <c r="AD41" s="4">
        <v>86773.894199999995</v>
      </c>
      <c r="AE41" s="4">
        <v>0</v>
      </c>
      <c r="AF41" s="4">
        <v>0</v>
      </c>
      <c r="AG41" s="4">
        <v>20654.340800000002</v>
      </c>
    </row>
    <row r="42" spans="1:33" x14ac:dyDescent="0.2">
      <c r="A42" s="3">
        <v>41061</v>
      </c>
      <c r="B42" s="4">
        <v>128469.7075</v>
      </c>
      <c r="C42" s="4">
        <v>4925.8132999999998</v>
      </c>
      <c r="D42" s="4">
        <v>2054.2219</v>
      </c>
      <c r="E42" s="4">
        <v>2871.5913</v>
      </c>
      <c r="F42" s="5">
        <v>514.90729999999996</v>
      </c>
      <c r="G42" s="4">
        <v>22.012</v>
      </c>
      <c r="H42" s="4">
        <v>492.8954</v>
      </c>
      <c r="I42" s="4">
        <v>296.88749999999999</v>
      </c>
      <c r="J42" s="5">
        <v>3471.3373999999999</v>
      </c>
      <c r="K42" s="4">
        <v>765.94989999999996</v>
      </c>
      <c r="L42" s="4">
        <v>2705.3874999999998</v>
      </c>
      <c r="M42" s="4">
        <v>89219.310299999997</v>
      </c>
      <c r="N42" s="4">
        <v>87292.4908</v>
      </c>
      <c r="O42" s="4">
        <v>1133.5702000000001</v>
      </c>
      <c r="P42" s="4">
        <v>793.24919999999997</v>
      </c>
      <c r="Q42" s="4">
        <v>725.57339999999999</v>
      </c>
      <c r="R42" s="4">
        <v>29315.8783</v>
      </c>
      <c r="S42" s="4">
        <v>3305.9773</v>
      </c>
      <c r="T42" s="4">
        <v>125163.73020000001</v>
      </c>
      <c r="U42" s="4">
        <v>0</v>
      </c>
      <c r="V42" s="4">
        <v>0</v>
      </c>
      <c r="W42" s="4">
        <v>4455.1395000000002</v>
      </c>
      <c r="X42" s="4">
        <v>89.963899999999995</v>
      </c>
      <c r="Y42" s="4">
        <v>4365.1755999999996</v>
      </c>
      <c r="Z42" s="4">
        <v>8333.4627</v>
      </c>
      <c r="AA42" s="4">
        <v>1947.8856000000001</v>
      </c>
      <c r="AB42" s="4">
        <v>6385.5771000000004</v>
      </c>
      <c r="AC42" s="4">
        <v>90387.638200000001</v>
      </c>
      <c r="AD42" s="4">
        <v>90387.638200000001</v>
      </c>
      <c r="AE42" s="4">
        <v>0</v>
      </c>
      <c r="AF42" s="4">
        <v>0</v>
      </c>
      <c r="AG42" s="4">
        <v>21987.489799999999</v>
      </c>
    </row>
    <row r="43" spans="1:33" x14ac:dyDescent="0.2">
      <c r="A43" s="3">
        <v>41153</v>
      </c>
      <c r="B43" s="4">
        <v>126238.5785</v>
      </c>
      <c r="C43" s="4">
        <v>4633.2785999999996</v>
      </c>
      <c r="D43" s="4">
        <v>1916.3067000000001</v>
      </c>
      <c r="E43" s="4">
        <v>2716.9719</v>
      </c>
      <c r="F43" s="5">
        <v>314.52960000000002</v>
      </c>
      <c r="G43" s="4">
        <v>17.735800000000001</v>
      </c>
      <c r="H43" s="4">
        <v>296.79379999999998</v>
      </c>
      <c r="I43" s="4">
        <v>313.95850000000002</v>
      </c>
      <c r="J43" s="5">
        <v>3454.5509999999999</v>
      </c>
      <c r="K43" s="4">
        <v>755.67229999999995</v>
      </c>
      <c r="L43" s="4">
        <v>2698.8788</v>
      </c>
      <c r="M43" s="4">
        <v>87864.511400000003</v>
      </c>
      <c r="N43" s="4">
        <v>85894.169899999994</v>
      </c>
      <c r="O43" s="4">
        <v>1172.5966000000001</v>
      </c>
      <c r="P43" s="4">
        <v>797.74490000000003</v>
      </c>
      <c r="Q43" s="4">
        <v>739.27560000000005</v>
      </c>
      <c r="R43" s="4">
        <v>28918.473699999999</v>
      </c>
      <c r="S43" s="4">
        <v>1904.8466000000001</v>
      </c>
      <c r="T43" s="4">
        <v>124333.73179999999</v>
      </c>
      <c r="U43" s="4">
        <v>0</v>
      </c>
      <c r="V43" s="4">
        <v>0</v>
      </c>
      <c r="W43" s="4">
        <v>4333.3239999999996</v>
      </c>
      <c r="X43" s="4">
        <v>98.8309</v>
      </c>
      <c r="Y43" s="4">
        <v>4234.4930999999997</v>
      </c>
      <c r="Z43" s="4">
        <v>8583.1162000000004</v>
      </c>
      <c r="AA43" s="4">
        <v>2204.6936999999998</v>
      </c>
      <c r="AB43" s="4">
        <v>6378.4224999999997</v>
      </c>
      <c r="AC43" s="4">
        <v>89830.258799999996</v>
      </c>
      <c r="AD43" s="4">
        <v>89830.258799999996</v>
      </c>
      <c r="AE43" s="4">
        <v>0</v>
      </c>
      <c r="AF43" s="4">
        <v>0</v>
      </c>
      <c r="AG43" s="4">
        <v>21587.032800000001</v>
      </c>
    </row>
    <row r="44" spans="1:33" x14ac:dyDescent="0.2">
      <c r="A44" s="3">
        <v>41244</v>
      </c>
      <c r="B44" s="4">
        <v>133562.8934</v>
      </c>
      <c r="C44" s="4">
        <v>5114.5505000000003</v>
      </c>
      <c r="D44" s="4">
        <v>2356.3339000000001</v>
      </c>
      <c r="E44" s="4">
        <v>2758.2166999999999</v>
      </c>
      <c r="F44" s="5">
        <v>319.25639999999999</v>
      </c>
      <c r="G44" s="4">
        <v>0.83299999999999996</v>
      </c>
      <c r="H44" s="4">
        <v>318.42340000000002</v>
      </c>
      <c r="I44" s="4">
        <v>303.25529999999998</v>
      </c>
      <c r="J44" s="5">
        <v>3593.0882000000001</v>
      </c>
      <c r="K44" s="4">
        <v>797.37800000000004</v>
      </c>
      <c r="L44" s="4">
        <v>2795.7100999999998</v>
      </c>
      <c r="M44" s="4">
        <v>92451.4</v>
      </c>
      <c r="N44" s="4">
        <v>90369.044500000004</v>
      </c>
      <c r="O44" s="4">
        <v>1224.5971999999999</v>
      </c>
      <c r="P44" s="4">
        <v>857.75829999999996</v>
      </c>
      <c r="Q44" s="4">
        <v>764.10829999999999</v>
      </c>
      <c r="R44" s="4">
        <v>31017.2346</v>
      </c>
      <c r="S44" s="4">
        <v>1420.8371999999999</v>
      </c>
      <c r="T44" s="4">
        <v>132142.05609999999</v>
      </c>
      <c r="U44" s="4">
        <v>0</v>
      </c>
      <c r="V44" s="4">
        <v>0</v>
      </c>
      <c r="W44" s="4">
        <v>4707.4908999999998</v>
      </c>
      <c r="X44" s="4">
        <v>127.0483</v>
      </c>
      <c r="Y44" s="4">
        <v>4580.4426000000003</v>
      </c>
      <c r="Z44" s="4">
        <v>8677.1524000000009</v>
      </c>
      <c r="AA44" s="4">
        <v>2212.3346999999999</v>
      </c>
      <c r="AB44" s="4">
        <v>6464.8176999999996</v>
      </c>
      <c r="AC44" s="4">
        <v>95228.192500000005</v>
      </c>
      <c r="AD44" s="4">
        <v>95228.192500000005</v>
      </c>
      <c r="AE44" s="4">
        <v>0</v>
      </c>
      <c r="AF44" s="4">
        <v>0</v>
      </c>
      <c r="AG44" s="4">
        <v>23529.220300000001</v>
      </c>
    </row>
    <row r="45" spans="1:33" x14ac:dyDescent="0.2">
      <c r="A45" s="3">
        <v>41334</v>
      </c>
      <c r="B45" s="4">
        <v>136837.9718</v>
      </c>
      <c r="C45" s="4">
        <v>5458.8567000000003</v>
      </c>
      <c r="D45" s="4">
        <v>2230.7734</v>
      </c>
      <c r="E45" s="4">
        <v>3228.0834</v>
      </c>
      <c r="F45" s="5">
        <v>308.39229999999998</v>
      </c>
      <c r="G45" s="4">
        <v>15.583500000000001</v>
      </c>
      <c r="H45" s="4">
        <v>292.80880000000002</v>
      </c>
      <c r="I45" s="4">
        <v>374.95600000000002</v>
      </c>
      <c r="J45" s="5">
        <v>3653.8795</v>
      </c>
      <c r="K45" s="4">
        <v>823.01850000000002</v>
      </c>
      <c r="L45" s="4">
        <v>2830.8609999999999</v>
      </c>
      <c r="M45" s="4">
        <v>95047.087400000004</v>
      </c>
      <c r="N45" s="4">
        <v>92551.166700000002</v>
      </c>
      <c r="O45" s="4">
        <v>1574.8851999999999</v>
      </c>
      <c r="P45" s="4">
        <v>921.03549999999996</v>
      </c>
      <c r="Q45" s="4">
        <v>786.96130000000005</v>
      </c>
      <c r="R45" s="4">
        <v>31207.838500000002</v>
      </c>
      <c r="S45" s="4">
        <v>571.37919999999997</v>
      </c>
      <c r="T45" s="4">
        <v>136266.5926</v>
      </c>
      <c r="U45" s="4">
        <v>0</v>
      </c>
      <c r="V45" s="4">
        <v>0</v>
      </c>
      <c r="W45" s="4">
        <v>5223.1706999999997</v>
      </c>
      <c r="X45" s="4">
        <v>136.1514</v>
      </c>
      <c r="Y45" s="4">
        <v>5087.0191999999997</v>
      </c>
      <c r="Z45" s="4">
        <v>9115.5409999999993</v>
      </c>
      <c r="AA45" s="4">
        <v>2320.2793000000001</v>
      </c>
      <c r="AB45" s="4">
        <v>6795.2617</v>
      </c>
      <c r="AC45" s="4">
        <v>96974.833899999998</v>
      </c>
      <c r="AD45" s="4">
        <v>96974.833899999998</v>
      </c>
      <c r="AE45" s="4">
        <v>0</v>
      </c>
      <c r="AF45" s="4">
        <v>0</v>
      </c>
      <c r="AG45" s="4">
        <v>24953.046999999999</v>
      </c>
    </row>
    <row r="46" spans="1:33" x14ac:dyDescent="0.2">
      <c r="A46" s="3">
        <v>41426</v>
      </c>
      <c r="B46" s="4">
        <v>138868.0289</v>
      </c>
      <c r="C46" s="4">
        <v>5762.4871999999996</v>
      </c>
      <c r="D46" s="4">
        <v>2433.0210999999999</v>
      </c>
      <c r="E46" s="4">
        <v>3329.4661000000001</v>
      </c>
      <c r="F46" s="5">
        <v>441.96100000000001</v>
      </c>
      <c r="G46" s="4">
        <v>20.009799999999998</v>
      </c>
      <c r="H46" s="4">
        <v>421.95119999999997</v>
      </c>
      <c r="I46" s="4">
        <v>363.71249999999998</v>
      </c>
      <c r="J46" s="5">
        <v>3708.6442000000002</v>
      </c>
      <c r="K46" s="4">
        <v>842.22040000000004</v>
      </c>
      <c r="L46" s="4">
        <v>2866.4238999999998</v>
      </c>
      <c r="M46" s="4">
        <v>95864.283299999996</v>
      </c>
      <c r="N46" s="4">
        <v>93381.251000000004</v>
      </c>
      <c r="O46" s="4">
        <v>1499.5934</v>
      </c>
      <c r="P46" s="4">
        <v>983.43889999999999</v>
      </c>
      <c r="Q46" s="4">
        <v>787.80020000000002</v>
      </c>
      <c r="R46" s="4">
        <v>31939.1404</v>
      </c>
      <c r="S46" s="4">
        <v>894.57100000000003</v>
      </c>
      <c r="T46" s="4">
        <v>137973.45790000001</v>
      </c>
      <c r="U46" s="4">
        <v>0</v>
      </c>
      <c r="V46" s="4">
        <v>0</v>
      </c>
      <c r="W46" s="4">
        <v>5667.8289999999997</v>
      </c>
      <c r="X46" s="4">
        <v>127.2431</v>
      </c>
      <c r="Y46" s="4">
        <v>5540.5857999999998</v>
      </c>
      <c r="Z46" s="4">
        <v>9118.6250999999993</v>
      </c>
      <c r="AA46" s="4">
        <v>2503.1615000000002</v>
      </c>
      <c r="AB46" s="4">
        <v>6615.4636</v>
      </c>
      <c r="AC46" s="4">
        <v>96845.278399999996</v>
      </c>
      <c r="AD46" s="4">
        <v>96845.278399999996</v>
      </c>
      <c r="AE46" s="4">
        <v>0</v>
      </c>
      <c r="AF46" s="4">
        <v>0</v>
      </c>
      <c r="AG46" s="4">
        <v>26341.725399999999</v>
      </c>
    </row>
    <row r="47" spans="1:33" x14ac:dyDescent="0.2">
      <c r="A47" s="3">
        <v>41518</v>
      </c>
      <c r="B47" s="4">
        <v>143125.0336</v>
      </c>
      <c r="C47" s="4">
        <v>5856.4629999999997</v>
      </c>
      <c r="D47" s="4">
        <v>2554.1770999999999</v>
      </c>
      <c r="E47" s="4">
        <v>3302.2858999999999</v>
      </c>
      <c r="F47" s="5">
        <v>432.36759999999998</v>
      </c>
      <c r="G47" s="4">
        <v>13.0261</v>
      </c>
      <c r="H47" s="4">
        <v>419.3415</v>
      </c>
      <c r="I47" s="4">
        <v>396.81979999999999</v>
      </c>
      <c r="J47" s="5">
        <v>3703.4238999999998</v>
      </c>
      <c r="K47" s="4">
        <v>854.87339999999995</v>
      </c>
      <c r="L47" s="4">
        <v>2848.5504999999998</v>
      </c>
      <c r="M47" s="4">
        <v>98952.051300000006</v>
      </c>
      <c r="N47" s="4">
        <v>96517.066600000006</v>
      </c>
      <c r="O47" s="4">
        <v>1473.6325999999999</v>
      </c>
      <c r="P47" s="4">
        <v>961.35209999999995</v>
      </c>
      <c r="Q47" s="4">
        <v>811.1019</v>
      </c>
      <c r="R47" s="4">
        <v>32972.806100000002</v>
      </c>
      <c r="S47" s="4">
        <v>1443.6273000000001</v>
      </c>
      <c r="T47" s="4">
        <v>141681.4063</v>
      </c>
      <c r="U47" s="4">
        <v>0</v>
      </c>
      <c r="V47" s="4">
        <v>0</v>
      </c>
      <c r="W47" s="4">
        <v>5735.0461999999998</v>
      </c>
      <c r="X47" s="4">
        <v>130.13489999999999</v>
      </c>
      <c r="Y47" s="4">
        <v>5604.9112999999998</v>
      </c>
      <c r="Z47" s="4">
        <v>9381.6383999999998</v>
      </c>
      <c r="AA47" s="4">
        <v>2498.06</v>
      </c>
      <c r="AB47" s="4">
        <v>6883.5784000000003</v>
      </c>
      <c r="AC47" s="4">
        <v>98829.819799999997</v>
      </c>
      <c r="AD47" s="4">
        <v>98829.819799999997</v>
      </c>
      <c r="AE47" s="4">
        <v>0</v>
      </c>
      <c r="AF47" s="4">
        <v>0</v>
      </c>
      <c r="AG47" s="4">
        <v>27734.901900000001</v>
      </c>
    </row>
    <row r="48" spans="1:33" x14ac:dyDescent="0.2">
      <c r="A48" s="3">
        <v>41609</v>
      </c>
      <c r="B48" s="4">
        <v>149490.04399999999</v>
      </c>
      <c r="C48" s="4">
        <v>6528.0042999999996</v>
      </c>
      <c r="D48" s="4">
        <v>2834.1412999999998</v>
      </c>
      <c r="E48" s="4">
        <v>3693.8629999999998</v>
      </c>
      <c r="F48" s="5">
        <v>432.28359999999998</v>
      </c>
      <c r="G48" s="4">
        <v>12.1821</v>
      </c>
      <c r="H48" s="4">
        <v>420.10149999999999</v>
      </c>
      <c r="I48" s="4">
        <v>422.79570000000001</v>
      </c>
      <c r="J48" s="5">
        <v>3790.0781000000002</v>
      </c>
      <c r="K48" s="4">
        <v>887.75649999999996</v>
      </c>
      <c r="L48" s="4">
        <v>2902.3216000000002</v>
      </c>
      <c r="M48" s="4">
        <v>103109.0778</v>
      </c>
      <c r="N48" s="4">
        <v>100467.3982</v>
      </c>
      <c r="O48" s="4">
        <v>1627.2337</v>
      </c>
      <c r="P48" s="4">
        <v>1014.446</v>
      </c>
      <c r="Q48" s="4">
        <v>842.17719999999997</v>
      </c>
      <c r="R48" s="4">
        <v>34365.6273</v>
      </c>
      <c r="S48" s="4">
        <v>2416.9502000000002</v>
      </c>
      <c r="T48" s="4">
        <v>147073.0938</v>
      </c>
      <c r="U48" s="4">
        <v>0</v>
      </c>
      <c r="V48" s="4">
        <v>0</v>
      </c>
      <c r="W48" s="4">
        <v>5826.1459999999997</v>
      </c>
      <c r="X48" s="4">
        <v>144.74520000000001</v>
      </c>
      <c r="Y48" s="4">
        <v>5681.4008000000003</v>
      </c>
      <c r="Z48" s="4">
        <v>9653.2135999999991</v>
      </c>
      <c r="AA48" s="4">
        <v>2602.0650000000001</v>
      </c>
      <c r="AB48" s="4">
        <v>7051.1486999999997</v>
      </c>
      <c r="AC48" s="4">
        <v>101826.12</v>
      </c>
      <c r="AD48" s="4">
        <v>101826.12</v>
      </c>
      <c r="AE48" s="4">
        <v>0</v>
      </c>
      <c r="AF48" s="4">
        <v>0</v>
      </c>
      <c r="AG48" s="4">
        <v>29767.614099999999</v>
      </c>
    </row>
    <row r="49" spans="1:33" x14ac:dyDescent="0.2">
      <c r="A49" s="3">
        <v>41699</v>
      </c>
      <c r="B49" s="4">
        <v>151119.86989999999</v>
      </c>
      <c r="C49" s="4">
        <v>6639.6435000000001</v>
      </c>
      <c r="D49" s="4">
        <v>2638.1529999999998</v>
      </c>
      <c r="E49" s="4">
        <v>4001.4904999999999</v>
      </c>
      <c r="F49" s="5">
        <v>458.0446</v>
      </c>
      <c r="G49" s="4">
        <v>7.0716000000000001</v>
      </c>
      <c r="H49" s="4">
        <v>450.97300000000001</v>
      </c>
      <c r="I49" s="4">
        <v>514.67150000000004</v>
      </c>
      <c r="J49" s="5">
        <v>3870.5417000000002</v>
      </c>
      <c r="K49" s="4">
        <v>923.12059999999997</v>
      </c>
      <c r="L49" s="4">
        <v>2947.4209999999998</v>
      </c>
      <c r="M49" s="4">
        <v>103383.93730000001</v>
      </c>
      <c r="N49" s="4">
        <v>100867.0125</v>
      </c>
      <c r="O49" s="4">
        <v>1483.2677000000001</v>
      </c>
      <c r="P49" s="4">
        <v>1033.6569999999999</v>
      </c>
      <c r="Q49" s="4">
        <v>879.57280000000003</v>
      </c>
      <c r="R49" s="4">
        <v>35373.458500000001</v>
      </c>
      <c r="S49" s="4">
        <v>2083.9202</v>
      </c>
      <c r="T49" s="4">
        <v>149035.9498</v>
      </c>
      <c r="U49" s="4">
        <v>0</v>
      </c>
      <c r="V49" s="4">
        <v>0</v>
      </c>
      <c r="W49" s="4">
        <v>6029.7749000000003</v>
      </c>
      <c r="X49" s="4">
        <v>150.81440000000001</v>
      </c>
      <c r="Y49" s="4">
        <v>5878.9605000000001</v>
      </c>
      <c r="Z49" s="4">
        <v>9675.9364999999998</v>
      </c>
      <c r="AA49" s="4">
        <v>2529.0963000000002</v>
      </c>
      <c r="AB49" s="4">
        <v>7146.8401999999996</v>
      </c>
      <c r="AC49" s="4">
        <v>102447.05929999999</v>
      </c>
      <c r="AD49" s="4">
        <v>102447.05929999999</v>
      </c>
      <c r="AE49" s="4">
        <v>0</v>
      </c>
      <c r="AF49" s="4">
        <v>0</v>
      </c>
      <c r="AG49" s="4">
        <v>30883.179199999999</v>
      </c>
    </row>
    <row r="50" spans="1:33" x14ac:dyDescent="0.2">
      <c r="A50" s="3">
        <v>41791</v>
      </c>
      <c r="B50" s="4">
        <v>152352.63380000001</v>
      </c>
      <c r="C50" s="4">
        <v>6294.9688999999998</v>
      </c>
      <c r="D50" s="4">
        <v>2627.7982999999999</v>
      </c>
      <c r="E50" s="4">
        <v>3667.1705999999999</v>
      </c>
      <c r="F50" s="5">
        <v>484.20249999999999</v>
      </c>
      <c r="G50" s="4">
        <v>20.598700000000001</v>
      </c>
      <c r="H50" s="4">
        <v>463.60379999999998</v>
      </c>
      <c r="I50" s="4">
        <v>506.92919999999998</v>
      </c>
      <c r="J50" s="5">
        <v>3878.2467000000001</v>
      </c>
      <c r="K50" s="4">
        <v>933.83330000000001</v>
      </c>
      <c r="L50" s="4">
        <v>2944.4135000000001</v>
      </c>
      <c r="M50" s="4">
        <v>105201.18120000001</v>
      </c>
      <c r="N50" s="4">
        <v>102615.58</v>
      </c>
      <c r="O50" s="4">
        <v>1447.2973999999999</v>
      </c>
      <c r="P50" s="4">
        <v>1138.3037999999999</v>
      </c>
      <c r="Q50" s="4">
        <v>924.29780000000005</v>
      </c>
      <c r="R50" s="4">
        <v>35062.807399999998</v>
      </c>
      <c r="S50" s="4">
        <v>2297.2869999999998</v>
      </c>
      <c r="T50" s="4">
        <v>150055.3469</v>
      </c>
      <c r="U50" s="4">
        <v>0</v>
      </c>
      <c r="V50" s="4">
        <v>0</v>
      </c>
      <c r="W50" s="4">
        <v>6162.5895</v>
      </c>
      <c r="X50" s="4">
        <v>154.4136</v>
      </c>
      <c r="Y50" s="4">
        <v>6008.1759000000002</v>
      </c>
      <c r="Z50" s="4">
        <v>9617.0907000000007</v>
      </c>
      <c r="AA50" s="4">
        <v>2561.8573999999999</v>
      </c>
      <c r="AB50" s="4">
        <v>7055.2332999999999</v>
      </c>
      <c r="AC50" s="4">
        <v>104158.63589999999</v>
      </c>
      <c r="AD50" s="4">
        <v>104158.63589999999</v>
      </c>
      <c r="AE50" s="4">
        <v>0</v>
      </c>
      <c r="AF50" s="4">
        <v>0</v>
      </c>
      <c r="AG50" s="4">
        <v>30117.0308</v>
      </c>
    </row>
    <row r="51" spans="1:33" x14ac:dyDescent="0.2">
      <c r="A51" s="3">
        <v>41883</v>
      </c>
      <c r="B51" s="4">
        <v>162326.3058</v>
      </c>
      <c r="C51" s="4">
        <v>6841.5261</v>
      </c>
      <c r="D51" s="4">
        <v>2677.6426000000001</v>
      </c>
      <c r="E51" s="4">
        <v>4163.8834999999999</v>
      </c>
      <c r="F51" s="5">
        <v>426.66520000000003</v>
      </c>
      <c r="G51" s="4">
        <v>16.606200000000001</v>
      </c>
      <c r="H51" s="4">
        <v>410.05900000000003</v>
      </c>
      <c r="I51" s="4">
        <v>501.23439999999999</v>
      </c>
      <c r="J51" s="5">
        <v>3917.3508000000002</v>
      </c>
      <c r="K51" s="4">
        <v>957.14940000000001</v>
      </c>
      <c r="L51" s="4">
        <v>2960.2013999999999</v>
      </c>
      <c r="M51" s="4">
        <v>111361.4944</v>
      </c>
      <c r="N51" s="4">
        <v>108661.13499999999</v>
      </c>
      <c r="O51" s="4">
        <v>1543.8188</v>
      </c>
      <c r="P51" s="4">
        <v>1156.5406</v>
      </c>
      <c r="Q51" s="4">
        <v>969.28629999999998</v>
      </c>
      <c r="R51" s="4">
        <v>38308.748699999996</v>
      </c>
      <c r="S51" s="4">
        <v>1610.9476999999999</v>
      </c>
      <c r="T51" s="4">
        <v>160715.35819999999</v>
      </c>
      <c r="U51" s="4">
        <v>0</v>
      </c>
      <c r="V51" s="4">
        <v>0</v>
      </c>
      <c r="W51" s="4">
        <v>6568.1426000000001</v>
      </c>
      <c r="X51" s="4">
        <v>120.7915</v>
      </c>
      <c r="Y51" s="4">
        <v>6447.3510999999999</v>
      </c>
      <c r="Z51" s="4">
        <v>9899.7405999999992</v>
      </c>
      <c r="AA51" s="4">
        <v>2631.7505000000001</v>
      </c>
      <c r="AB51" s="4">
        <v>7267.9901</v>
      </c>
      <c r="AC51" s="4">
        <v>111240.5944</v>
      </c>
      <c r="AD51" s="4">
        <v>111240.5944</v>
      </c>
      <c r="AE51" s="4">
        <v>0</v>
      </c>
      <c r="AF51" s="4">
        <v>0</v>
      </c>
      <c r="AG51" s="4">
        <v>33006.880599999997</v>
      </c>
    </row>
    <row r="52" spans="1:33" x14ac:dyDescent="0.2">
      <c r="A52" s="3">
        <v>41974</v>
      </c>
      <c r="B52" s="4">
        <v>161744.62659999999</v>
      </c>
      <c r="C52" s="4">
        <v>7115.5149000000001</v>
      </c>
      <c r="D52" s="4">
        <v>3074.6473000000001</v>
      </c>
      <c r="E52" s="4">
        <v>4040.8676999999998</v>
      </c>
      <c r="F52" s="5">
        <v>469.8263</v>
      </c>
      <c r="G52" s="4">
        <v>13.4458</v>
      </c>
      <c r="H52" s="4">
        <v>456.38049999999998</v>
      </c>
      <c r="I52" s="4">
        <v>500.30450000000002</v>
      </c>
      <c r="J52" s="5">
        <v>4047.7129</v>
      </c>
      <c r="K52" s="4">
        <v>1019.7506</v>
      </c>
      <c r="L52" s="4">
        <v>3027.9623000000001</v>
      </c>
      <c r="M52" s="4">
        <v>110527.1804</v>
      </c>
      <c r="N52" s="4">
        <v>107868.7</v>
      </c>
      <c r="O52" s="4">
        <v>1524.2366</v>
      </c>
      <c r="P52" s="4">
        <v>1134.2437</v>
      </c>
      <c r="Q52" s="4">
        <v>991.80129999999997</v>
      </c>
      <c r="R52" s="4">
        <v>38092.286399999997</v>
      </c>
      <c r="S52" s="4">
        <v>2397.3692000000001</v>
      </c>
      <c r="T52" s="4">
        <v>159347.2574</v>
      </c>
      <c r="U52" s="4">
        <v>0</v>
      </c>
      <c r="V52" s="4">
        <v>0</v>
      </c>
      <c r="W52" s="4">
        <v>6487.8149999999996</v>
      </c>
      <c r="X52" s="4">
        <v>167.84639999999999</v>
      </c>
      <c r="Y52" s="4">
        <v>6319.9686000000002</v>
      </c>
      <c r="Z52" s="4">
        <v>8997.8161</v>
      </c>
      <c r="AA52" s="4">
        <v>2681.7150999999999</v>
      </c>
      <c r="AB52" s="4">
        <v>6316.1010999999999</v>
      </c>
      <c r="AC52" s="4">
        <v>111004.28049999999</v>
      </c>
      <c r="AD52" s="4">
        <v>111004.28049999999</v>
      </c>
      <c r="AE52" s="4">
        <v>0</v>
      </c>
      <c r="AF52" s="4">
        <v>0</v>
      </c>
      <c r="AG52" s="4">
        <v>32857.345699999998</v>
      </c>
    </row>
    <row r="53" spans="1:33" x14ac:dyDescent="0.2">
      <c r="A53" s="3">
        <v>42064</v>
      </c>
      <c r="B53" s="4">
        <v>163328.7953</v>
      </c>
      <c r="C53" s="4">
        <v>6689.79</v>
      </c>
      <c r="D53" s="4">
        <v>3122.0864999999999</v>
      </c>
      <c r="E53" s="4">
        <v>3567.7035000000001</v>
      </c>
      <c r="F53" s="5">
        <v>450.5</v>
      </c>
      <c r="G53" s="4">
        <v>28.027999999999999</v>
      </c>
      <c r="H53" s="4">
        <v>422.47199999999998</v>
      </c>
      <c r="I53" s="4">
        <v>466.67110000000002</v>
      </c>
      <c r="J53" s="5">
        <v>4139.7794999999996</v>
      </c>
      <c r="K53" s="4">
        <v>1084.6876999999999</v>
      </c>
      <c r="L53" s="4">
        <v>3055.0918000000001</v>
      </c>
      <c r="M53" s="4">
        <v>110147.34510000001</v>
      </c>
      <c r="N53" s="4">
        <v>107105.3584</v>
      </c>
      <c r="O53" s="4">
        <v>1718.5056999999999</v>
      </c>
      <c r="P53" s="4">
        <v>1323.481</v>
      </c>
      <c r="Q53" s="4">
        <v>1033.9694</v>
      </c>
      <c r="R53" s="4">
        <v>40400.740100000003</v>
      </c>
      <c r="S53" s="4">
        <v>1128.5924</v>
      </c>
      <c r="T53" s="4">
        <v>162200.2029</v>
      </c>
      <c r="U53" s="4">
        <v>0</v>
      </c>
      <c r="V53" s="4">
        <v>0</v>
      </c>
      <c r="W53" s="4">
        <v>6286.5870999999997</v>
      </c>
      <c r="X53" s="4">
        <v>183.78819999999999</v>
      </c>
      <c r="Y53" s="4">
        <v>6102.7988999999998</v>
      </c>
      <c r="Z53" s="4">
        <v>9747.6839999999993</v>
      </c>
      <c r="AA53" s="4">
        <v>2804.6862999999998</v>
      </c>
      <c r="AB53" s="4">
        <v>6942.9976999999999</v>
      </c>
      <c r="AC53" s="4">
        <v>111327.6995</v>
      </c>
      <c r="AD53" s="4">
        <v>111327.6995</v>
      </c>
      <c r="AE53" s="4">
        <v>0</v>
      </c>
      <c r="AF53" s="4">
        <v>0</v>
      </c>
      <c r="AG53" s="4">
        <v>34838.232400000001</v>
      </c>
    </row>
    <row r="54" spans="1:33" x14ac:dyDescent="0.2">
      <c r="A54" s="3">
        <v>42156</v>
      </c>
      <c r="B54" s="4">
        <v>164906.27799999999</v>
      </c>
      <c r="C54" s="4">
        <v>6524.6133</v>
      </c>
      <c r="D54" s="4">
        <v>3185.6794</v>
      </c>
      <c r="E54" s="4">
        <v>3338.9339</v>
      </c>
      <c r="F54" s="5">
        <v>449.19229999999999</v>
      </c>
      <c r="G54" s="4">
        <v>13.843400000000001</v>
      </c>
      <c r="H54" s="4">
        <v>435.34879999999998</v>
      </c>
      <c r="I54" s="4">
        <v>469.04880000000003</v>
      </c>
      <c r="J54" s="5">
        <v>4083.6061</v>
      </c>
      <c r="K54" s="4">
        <v>1087.7458999999999</v>
      </c>
      <c r="L54" s="4">
        <v>2995.8602000000001</v>
      </c>
      <c r="M54" s="4">
        <v>111398.3328</v>
      </c>
      <c r="N54" s="4">
        <v>108496.8887</v>
      </c>
      <c r="O54" s="4">
        <v>1604.2701999999999</v>
      </c>
      <c r="P54" s="4">
        <v>1297.1739</v>
      </c>
      <c r="Q54" s="4">
        <v>1042.9337</v>
      </c>
      <c r="R54" s="4">
        <v>40938.550999999999</v>
      </c>
      <c r="S54" s="4">
        <v>2617.9670999999998</v>
      </c>
      <c r="T54" s="4">
        <v>162288.31090000001</v>
      </c>
      <c r="U54" s="4">
        <v>0</v>
      </c>
      <c r="V54" s="4">
        <v>0</v>
      </c>
      <c r="W54" s="4">
        <v>6361.7748000000001</v>
      </c>
      <c r="X54" s="4">
        <v>171.30930000000001</v>
      </c>
      <c r="Y54" s="4">
        <v>6190.4655000000002</v>
      </c>
      <c r="Z54" s="4">
        <v>9916.6384999999991</v>
      </c>
      <c r="AA54" s="4">
        <v>2870.7179000000001</v>
      </c>
      <c r="AB54" s="4">
        <v>7045.9206000000004</v>
      </c>
      <c r="AC54" s="4">
        <v>110903.4295</v>
      </c>
      <c r="AD54" s="4">
        <v>110903.4295</v>
      </c>
      <c r="AE54" s="4">
        <v>0</v>
      </c>
      <c r="AF54" s="4">
        <v>0</v>
      </c>
      <c r="AG54" s="4">
        <v>35106.468200000003</v>
      </c>
    </row>
    <row r="55" spans="1:33" x14ac:dyDescent="0.2">
      <c r="A55" s="3">
        <v>42248</v>
      </c>
      <c r="B55" s="4">
        <v>173498.326</v>
      </c>
      <c r="C55" s="4">
        <v>6393.9962999999998</v>
      </c>
      <c r="D55" s="4">
        <v>3005.6419999999998</v>
      </c>
      <c r="E55" s="4">
        <v>3388.3544000000002</v>
      </c>
      <c r="F55" s="5">
        <v>506.9984</v>
      </c>
      <c r="G55" s="4">
        <v>23.369399999999999</v>
      </c>
      <c r="H55" s="4">
        <v>483.62900000000002</v>
      </c>
      <c r="I55" s="4">
        <v>488.90429999999998</v>
      </c>
      <c r="J55" s="5">
        <v>4109.9714999999997</v>
      </c>
      <c r="K55" s="4">
        <v>1092.1397999999999</v>
      </c>
      <c r="L55" s="4">
        <v>3017.8317000000002</v>
      </c>
      <c r="M55" s="4">
        <v>117470.433</v>
      </c>
      <c r="N55" s="4">
        <v>114466.48269999999</v>
      </c>
      <c r="O55" s="4">
        <v>1676.8311000000001</v>
      </c>
      <c r="P55" s="4">
        <v>1327.1193000000001</v>
      </c>
      <c r="Q55" s="4">
        <v>1048.2431999999999</v>
      </c>
      <c r="R55" s="4">
        <v>43479.779199999997</v>
      </c>
      <c r="S55" s="4">
        <v>1958.5093999999999</v>
      </c>
      <c r="T55" s="4">
        <v>171539.81659999999</v>
      </c>
      <c r="U55" s="4">
        <v>0</v>
      </c>
      <c r="V55" s="4">
        <v>0</v>
      </c>
      <c r="W55" s="4">
        <v>6609.2007000000003</v>
      </c>
      <c r="X55" s="4">
        <v>160.4674</v>
      </c>
      <c r="Y55" s="4">
        <v>6448.7332999999999</v>
      </c>
      <c r="Z55" s="4">
        <v>10442.882100000001</v>
      </c>
      <c r="AA55" s="4">
        <v>2999.0859999999998</v>
      </c>
      <c r="AB55" s="4">
        <v>7443.7960999999996</v>
      </c>
      <c r="AC55" s="4">
        <v>116895.9874</v>
      </c>
      <c r="AD55" s="4">
        <v>116895.9874</v>
      </c>
      <c r="AE55" s="4">
        <v>0</v>
      </c>
      <c r="AF55" s="4">
        <v>0</v>
      </c>
      <c r="AG55" s="4">
        <v>37591.746400000004</v>
      </c>
    </row>
    <row r="56" spans="1:33" x14ac:dyDescent="0.2">
      <c r="A56" s="3">
        <v>42339</v>
      </c>
      <c r="B56" s="4">
        <v>174371.64319999999</v>
      </c>
      <c r="C56" s="4">
        <v>6796.9300999999996</v>
      </c>
      <c r="D56" s="4">
        <v>3385.8901999999998</v>
      </c>
      <c r="E56" s="4">
        <v>3411.0399000000002</v>
      </c>
      <c r="F56" s="5">
        <v>518.92529999999999</v>
      </c>
      <c r="G56" s="4">
        <v>18.991499999999998</v>
      </c>
      <c r="H56" s="4">
        <v>499.93380000000002</v>
      </c>
      <c r="I56" s="4">
        <v>494.74630000000002</v>
      </c>
      <c r="J56" s="5">
        <v>4172.5052999999998</v>
      </c>
      <c r="K56" s="4">
        <v>1065.4182000000001</v>
      </c>
      <c r="L56" s="4">
        <v>3107.087</v>
      </c>
      <c r="M56" s="4">
        <v>118159.53260000001</v>
      </c>
      <c r="N56" s="4">
        <v>115234.4587</v>
      </c>
      <c r="O56" s="4">
        <v>1645.3605</v>
      </c>
      <c r="P56" s="4">
        <v>1279.7132999999999</v>
      </c>
      <c r="Q56" s="4">
        <v>1079.9579000000001</v>
      </c>
      <c r="R56" s="4">
        <v>43149.0458</v>
      </c>
      <c r="S56" s="4">
        <v>1490.1093000000001</v>
      </c>
      <c r="T56" s="4">
        <v>172881.53400000001</v>
      </c>
      <c r="U56" s="4">
        <v>0</v>
      </c>
      <c r="V56" s="4">
        <v>0</v>
      </c>
      <c r="W56" s="4">
        <v>6486.4126999999999</v>
      </c>
      <c r="X56" s="4">
        <v>120.181</v>
      </c>
      <c r="Y56" s="4">
        <v>6366.2317999999996</v>
      </c>
      <c r="Z56" s="4">
        <v>10911.853300000001</v>
      </c>
      <c r="AA56" s="4">
        <v>3147.0075000000002</v>
      </c>
      <c r="AB56" s="4">
        <v>7764.8458000000001</v>
      </c>
      <c r="AC56" s="4">
        <v>117756.2118</v>
      </c>
      <c r="AD56" s="4">
        <v>117756.2118</v>
      </c>
      <c r="AE56" s="4">
        <v>0</v>
      </c>
      <c r="AF56" s="4">
        <v>0</v>
      </c>
      <c r="AG56" s="4">
        <v>37727.056199999999</v>
      </c>
    </row>
    <row r="57" spans="1:33" x14ac:dyDescent="0.2">
      <c r="A57" s="3">
        <v>42430</v>
      </c>
      <c r="B57" s="4">
        <v>173191.05549999999</v>
      </c>
      <c r="C57" s="4">
        <v>7221.7112999999999</v>
      </c>
      <c r="D57" s="4">
        <v>3515.6641</v>
      </c>
      <c r="E57" s="4">
        <v>3706.0472</v>
      </c>
      <c r="F57" s="5">
        <v>565.89170000000001</v>
      </c>
      <c r="G57" s="4">
        <v>26.060400000000001</v>
      </c>
      <c r="H57" s="4">
        <v>539.83130000000006</v>
      </c>
      <c r="I57" s="4">
        <v>529.3433</v>
      </c>
      <c r="J57" s="5">
        <v>4157.5459000000001</v>
      </c>
      <c r="K57" s="4">
        <v>1068.3072999999999</v>
      </c>
      <c r="L57" s="4">
        <v>3089.2386000000001</v>
      </c>
      <c r="M57" s="4">
        <v>116321.7524</v>
      </c>
      <c r="N57" s="4">
        <v>113176.8701</v>
      </c>
      <c r="O57" s="4">
        <v>1834.636</v>
      </c>
      <c r="P57" s="4">
        <v>1310.2464</v>
      </c>
      <c r="Q57" s="4">
        <v>1088.8226</v>
      </c>
      <c r="R57" s="4">
        <v>43305.988299999997</v>
      </c>
      <c r="S57" s="4">
        <v>1366.3586</v>
      </c>
      <c r="T57" s="4">
        <v>171824.69690000001</v>
      </c>
      <c r="U57" s="4">
        <v>0</v>
      </c>
      <c r="V57" s="4">
        <v>0</v>
      </c>
      <c r="W57" s="4">
        <v>6570.0027</v>
      </c>
      <c r="X57" s="4">
        <v>101.1849</v>
      </c>
      <c r="Y57" s="4">
        <v>6468.8177999999998</v>
      </c>
      <c r="Z57" s="4">
        <v>10563.992200000001</v>
      </c>
      <c r="AA57" s="4">
        <v>3256.4814000000001</v>
      </c>
      <c r="AB57" s="4">
        <v>7307.5108</v>
      </c>
      <c r="AC57" s="4">
        <v>116713.20269999999</v>
      </c>
      <c r="AD57" s="4">
        <v>116713.20269999999</v>
      </c>
      <c r="AE57" s="4">
        <v>0</v>
      </c>
      <c r="AF57" s="4">
        <v>0</v>
      </c>
      <c r="AG57" s="4">
        <v>37977.499300000003</v>
      </c>
    </row>
    <row r="58" spans="1:33" x14ac:dyDescent="0.2">
      <c r="A58" s="3">
        <v>42522</v>
      </c>
      <c r="B58" s="4">
        <v>173005.45</v>
      </c>
      <c r="C58" s="4">
        <v>6585.2843999999996</v>
      </c>
      <c r="D58" s="4">
        <v>3114.4470000000001</v>
      </c>
      <c r="E58" s="4">
        <v>3470.8373999999999</v>
      </c>
      <c r="F58" s="5">
        <v>477.62689999999998</v>
      </c>
      <c r="G58" s="4">
        <v>21.130400000000002</v>
      </c>
      <c r="H58" s="4">
        <v>456.49650000000003</v>
      </c>
      <c r="I58" s="4">
        <v>543.84789999999998</v>
      </c>
      <c r="J58" s="5">
        <v>4122.4683999999997</v>
      </c>
      <c r="K58" s="4">
        <v>1032.0274999999999</v>
      </c>
      <c r="L58" s="4">
        <v>3090.4409000000001</v>
      </c>
      <c r="M58" s="4">
        <v>116596.40919999999</v>
      </c>
      <c r="N58" s="4">
        <v>113687.5958</v>
      </c>
      <c r="O58" s="4">
        <v>1639.65</v>
      </c>
      <c r="P58" s="4">
        <v>1269.1633999999999</v>
      </c>
      <c r="Q58" s="4">
        <v>1097.1161</v>
      </c>
      <c r="R58" s="4">
        <v>43582.697200000002</v>
      </c>
      <c r="S58" s="4">
        <v>1401.1289999999999</v>
      </c>
      <c r="T58" s="4">
        <v>171604.321</v>
      </c>
      <c r="U58" s="4">
        <v>0</v>
      </c>
      <c r="V58" s="4">
        <v>0</v>
      </c>
      <c r="W58" s="4">
        <v>6595.15</v>
      </c>
      <c r="X58" s="4">
        <v>172.7398</v>
      </c>
      <c r="Y58" s="4">
        <v>6422.4102000000003</v>
      </c>
      <c r="Z58" s="4">
        <v>10459.720499999999</v>
      </c>
      <c r="AA58" s="4">
        <v>3008.1143000000002</v>
      </c>
      <c r="AB58" s="4">
        <v>7451.6062000000002</v>
      </c>
      <c r="AC58" s="4">
        <v>117557.84540000001</v>
      </c>
      <c r="AD58" s="4">
        <v>117557.84540000001</v>
      </c>
      <c r="AE58" s="4">
        <v>0</v>
      </c>
      <c r="AF58" s="4">
        <v>0</v>
      </c>
      <c r="AG58" s="4">
        <v>36991.605100000001</v>
      </c>
    </row>
    <row r="59" spans="1:33" x14ac:dyDescent="0.2">
      <c r="A59" s="3">
        <v>42614</v>
      </c>
      <c r="B59" s="4">
        <v>175714.85769999999</v>
      </c>
      <c r="C59" s="4">
        <v>6562.0154000000002</v>
      </c>
      <c r="D59" s="4">
        <v>3210.9164999999998</v>
      </c>
      <c r="E59" s="4">
        <v>3351.0989</v>
      </c>
      <c r="F59" s="5">
        <v>471.55650000000003</v>
      </c>
      <c r="G59" s="4">
        <v>28.2258</v>
      </c>
      <c r="H59" s="4">
        <v>443.33069999999998</v>
      </c>
      <c r="I59" s="4">
        <v>541.03589999999997</v>
      </c>
      <c r="J59" s="5">
        <v>4199.7642999999998</v>
      </c>
      <c r="K59" s="4">
        <v>1023.2785</v>
      </c>
      <c r="L59" s="4">
        <v>3176.4857999999999</v>
      </c>
      <c r="M59" s="4">
        <v>119440.2791</v>
      </c>
      <c r="N59" s="4">
        <v>116318.1116</v>
      </c>
      <c r="O59" s="4">
        <v>1781.5427</v>
      </c>
      <c r="P59" s="4">
        <v>1340.6249</v>
      </c>
      <c r="Q59" s="4">
        <v>1149.1597999999999</v>
      </c>
      <c r="R59" s="4">
        <v>43351.046699999999</v>
      </c>
      <c r="S59" s="4">
        <v>1341.2588000000001</v>
      </c>
      <c r="T59" s="4">
        <v>174373.59880000001</v>
      </c>
      <c r="U59" s="4">
        <v>0</v>
      </c>
      <c r="V59" s="4">
        <v>0</v>
      </c>
      <c r="W59" s="4">
        <v>6892.1269000000002</v>
      </c>
      <c r="X59" s="4">
        <v>228.82079999999999</v>
      </c>
      <c r="Y59" s="4">
        <v>6663.3060999999998</v>
      </c>
      <c r="Z59" s="4">
        <v>10222.0247</v>
      </c>
      <c r="AA59" s="4">
        <v>2919.0050000000001</v>
      </c>
      <c r="AB59" s="4">
        <v>7303.0196999999998</v>
      </c>
      <c r="AC59" s="4">
        <v>121097.8135</v>
      </c>
      <c r="AD59" s="4">
        <v>121097.8135</v>
      </c>
      <c r="AE59" s="4">
        <v>0</v>
      </c>
      <c r="AF59" s="4">
        <v>0</v>
      </c>
      <c r="AG59" s="4">
        <v>36161.633800000003</v>
      </c>
    </row>
    <row r="60" spans="1:33" x14ac:dyDescent="0.2">
      <c r="A60" s="3">
        <v>42705</v>
      </c>
      <c r="B60" s="4">
        <v>179890.2132</v>
      </c>
      <c r="C60" s="4">
        <v>7126.8254999999999</v>
      </c>
      <c r="D60" s="4">
        <v>3574.5720000000001</v>
      </c>
      <c r="E60" s="4">
        <v>3552.2534999999998</v>
      </c>
      <c r="F60" s="5">
        <v>463.80869999999999</v>
      </c>
      <c r="G60" s="4">
        <v>33.641199999999998</v>
      </c>
      <c r="H60" s="4">
        <v>430.16750000000002</v>
      </c>
      <c r="I60" s="4">
        <v>535.73469999999998</v>
      </c>
      <c r="J60" s="5">
        <v>4301.8710000000001</v>
      </c>
      <c r="K60" s="4">
        <v>1019.9922</v>
      </c>
      <c r="L60" s="4">
        <v>3281.8788</v>
      </c>
      <c r="M60" s="4">
        <v>122107.6286</v>
      </c>
      <c r="N60" s="4">
        <v>119037.9045</v>
      </c>
      <c r="O60" s="4">
        <v>1766.7686000000001</v>
      </c>
      <c r="P60" s="4">
        <v>1302.9555</v>
      </c>
      <c r="Q60" s="4">
        <v>1149.6756</v>
      </c>
      <c r="R60" s="4">
        <v>44204.669199999997</v>
      </c>
      <c r="S60" s="4">
        <v>2931.3611999999998</v>
      </c>
      <c r="T60" s="4">
        <v>176958.85200000001</v>
      </c>
      <c r="U60" s="4">
        <v>0</v>
      </c>
      <c r="V60" s="4">
        <v>0</v>
      </c>
      <c r="W60" s="4">
        <v>6972.5995999999996</v>
      </c>
      <c r="X60" s="4">
        <v>257.92669999999998</v>
      </c>
      <c r="Y60" s="4">
        <v>6714.6728999999996</v>
      </c>
      <c r="Z60" s="4">
        <v>10291.8969</v>
      </c>
      <c r="AA60" s="4">
        <v>3051.5691000000002</v>
      </c>
      <c r="AB60" s="4">
        <v>7240.3278</v>
      </c>
      <c r="AC60" s="4">
        <v>123500.9648</v>
      </c>
      <c r="AD60" s="4">
        <v>123500.9648</v>
      </c>
      <c r="AE60" s="4">
        <v>0</v>
      </c>
      <c r="AF60" s="4">
        <v>0</v>
      </c>
      <c r="AG60" s="4">
        <v>36193.390800000001</v>
      </c>
    </row>
    <row r="61" spans="1:33" x14ac:dyDescent="0.2">
      <c r="A61" s="3">
        <v>42795</v>
      </c>
      <c r="B61" s="4">
        <v>185512.20680000001</v>
      </c>
      <c r="C61" s="4">
        <v>6632.8091000000004</v>
      </c>
      <c r="D61" s="4">
        <v>3271.8724000000002</v>
      </c>
      <c r="E61" s="4">
        <v>3360.9367000000002</v>
      </c>
      <c r="F61" s="5">
        <v>472.827</v>
      </c>
      <c r="G61" s="4">
        <v>34.439</v>
      </c>
      <c r="H61" s="4">
        <v>438.38799999999998</v>
      </c>
      <c r="I61" s="4">
        <v>483.98349999999999</v>
      </c>
      <c r="J61" s="5">
        <v>4385.3494000000001</v>
      </c>
      <c r="K61" s="4">
        <v>1024.4499000000001</v>
      </c>
      <c r="L61" s="4">
        <v>3360.8995</v>
      </c>
      <c r="M61" s="4">
        <v>125744.1033</v>
      </c>
      <c r="N61" s="4">
        <v>122427.5261</v>
      </c>
      <c r="O61" s="4">
        <v>1967.3480999999999</v>
      </c>
      <c r="P61" s="4">
        <v>1349.2291</v>
      </c>
      <c r="Q61" s="4">
        <v>1218.4328</v>
      </c>
      <c r="R61" s="4">
        <v>46574.7016</v>
      </c>
      <c r="S61" s="4">
        <v>3317.4023000000002</v>
      </c>
      <c r="T61" s="4">
        <v>182194.8045</v>
      </c>
      <c r="U61" s="4">
        <v>0</v>
      </c>
      <c r="V61" s="4">
        <v>0</v>
      </c>
      <c r="W61" s="4">
        <v>7364.4438</v>
      </c>
      <c r="X61" s="4">
        <v>234.62639999999999</v>
      </c>
      <c r="Y61" s="4">
        <v>7129.8173999999999</v>
      </c>
      <c r="Z61" s="4">
        <v>10075.3753</v>
      </c>
      <c r="AA61" s="4">
        <v>3220.6215000000002</v>
      </c>
      <c r="AB61" s="4">
        <v>6854.7538000000004</v>
      </c>
      <c r="AC61" s="4">
        <v>126003.22229999999</v>
      </c>
      <c r="AD61" s="4">
        <v>126003.22229999999</v>
      </c>
      <c r="AE61" s="4">
        <v>0</v>
      </c>
      <c r="AF61" s="4">
        <v>0</v>
      </c>
      <c r="AG61" s="4">
        <v>38751.763200000001</v>
      </c>
    </row>
    <row r="62" spans="1:33" x14ac:dyDescent="0.2">
      <c r="A62" s="3">
        <v>42887</v>
      </c>
      <c r="B62" s="4">
        <v>187816.652</v>
      </c>
      <c r="C62" s="4">
        <v>6853.9497000000001</v>
      </c>
      <c r="D62" s="4">
        <v>3528.4956999999999</v>
      </c>
      <c r="E62" s="4">
        <v>3325.4540000000002</v>
      </c>
      <c r="F62" s="5">
        <v>488.76280000000003</v>
      </c>
      <c r="G62" s="4">
        <v>34.234499999999997</v>
      </c>
      <c r="H62" s="4">
        <v>454.5283</v>
      </c>
      <c r="I62" s="4">
        <v>570.74080000000004</v>
      </c>
      <c r="J62" s="5">
        <v>5105.8909999999996</v>
      </c>
      <c r="K62" s="4">
        <v>1094.3798999999999</v>
      </c>
      <c r="L62" s="4">
        <v>4011.5111000000002</v>
      </c>
      <c r="M62" s="4">
        <v>127126.6479</v>
      </c>
      <c r="N62" s="4">
        <v>123922.9561</v>
      </c>
      <c r="O62" s="4">
        <v>1868.4557</v>
      </c>
      <c r="P62" s="4">
        <v>1335.2361000000001</v>
      </c>
      <c r="Q62" s="4">
        <v>1244.3698999999999</v>
      </c>
      <c r="R62" s="4">
        <v>46426.289900000003</v>
      </c>
      <c r="S62" s="4">
        <v>3162.7026000000001</v>
      </c>
      <c r="T62" s="4">
        <v>184653.94940000001</v>
      </c>
      <c r="U62" s="4">
        <v>0</v>
      </c>
      <c r="V62" s="4">
        <v>0</v>
      </c>
      <c r="W62" s="4">
        <v>8185.2537000000002</v>
      </c>
      <c r="X62" s="4">
        <v>235.97470000000001</v>
      </c>
      <c r="Y62" s="4">
        <v>7949.2790000000005</v>
      </c>
      <c r="Z62" s="4">
        <v>10209.5591</v>
      </c>
      <c r="AA62" s="4">
        <v>3224.1095</v>
      </c>
      <c r="AB62" s="4">
        <v>6985.4497000000001</v>
      </c>
      <c r="AC62" s="4">
        <v>127513.2749</v>
      </c>
      <c r="AD62" s="4">
        <v>127513.2749</v>
      </c>
      <c r="AE62" s="4">
        <v>0</v>
      </c>
      <c r="AF62" s="4">
        <v>0</v>
      </c>
      <c r="AG62" s="4">
        <v>38745.861700000001</v>
      </c>
    </row>
    <row r="63" spans="1:33" x14ac:dyDescent="0.2">
      <c r="A63" s="3">
        <v>42979</v>
      </c>
      <c r="B63" s="4">
        <v>192307.8934</v>
      </c>
      <c r="C63" s="4">
        <v>6878.6605</v>
      </c>
      <c r="D63" s="4">
        <v>3542.6550999999999</v>
      </c>
      <c r="E63" s="4">
        <v>3336.0054</v>
      </c>
      <c r="F63" s="5">
        <v>445.82319999999999</v>
      </c>
      <c r="G63" s="4">
        <v>20.988800000000001</v>
      </c>
      <c r="H63" s="4">
        <v>424.83440000000002</v>
      </c>
      <c r="I63" s="4">
        <v>631.48389999999995</v>
      </c>
      <c r="J63" s="5">
        <v>5279.7155000000002</v>
      </c>
      <c r="K63" s="4">
        <v>1059.4513999999999</v>
      </c>
      <c r="L63" s="4">
        <v>4220.2640000000001</v>
      </c>
      <c r="M63" s="4">
        <v>131061.5022</v>
      </c>
      <c r="N63" s="4">
        <v>127931.6614</v>
      </c>
      <c r="O63" s="4">
        <v>1910.9024999999999</v>
      </c>
      <c r="P63" s="4">
        <v>1218.9383</v>
      </c>
      <c r="Q63" s="4">
        <v>1264.6676</v>
      </c>
      <c r="R63" s="4">
        <v>46746.0406</v>
      </c>
      <c r="S63" s="4">
        <v>4234.8662000000004</v>
      </c>
      <c r="T63" s="4">
        <v>188073.02720000001</v>
      </c>
      <c r="U63" s="4">
        <v>0</v>
      </c>
      <c r="V63" s="4">
        <v>0</v>
      </c>
      <c r="W63" s="4">
        <v>8084.2401</v>
      </c>
      <c r="X63" s="4">
        <v>183.9307</v>
      </c>
      <c r="Y63" s="4">
        <v>7900.3094000000001</v>
      </c>
      <c r="Z63" s="4">
        <v>9857.3050000000003</v>
      </c>
      <c r="AA63" s="4">
        <v>3125.1154000000001</v>
      </c>
      <c r="AB63" s="4">
        <v>6732.1895999999997</v>
      </c>
      <c r="AC63" s="4">
        <v>130739.9197</v>
      </c>
      <c r="AD63" s="4">
        <v>130739.9197</v>
      </c>
      <c r="AE63" s="4">
        <v>0</v>
      </c>
      <c r="AF63" s="4">
        <v>0</v>
      </c>
      <c r="AG63" s="4">
        <v>39391.562400000003</v>
      </c>
    </row>
    <row r="64" spans="1:33" x14ac:dyDescent="0.2">
      <c r="A64" s="3">
        <v>43070</v>
      </c>
      <c r="B64" s="4">
        <v>192299.3028</v>
      </c>
      <c r="C64" s="4">
        <v>7003.8684999999996</v>
      </c>
      <c r="D64" s="4">
        <v>3844.4043999999999</v>
      </c>
      <c r="E64" s="4">
        <v>3159.4641000000001</v>
      </c>
      <c r="F64" s="5">
        <v>452.55349999999999</v>
      </c>
      <c r="G64" s="4">
        <v>54.569200000000002</v>
      </c>
      <c r="H64" s="4">
        <v>397.98430000000002</v>
      </c>
      <c r="I64" s="4">
        <v>674.42470000000003</v>
      </c>
      <c r="J64" s="5">
        <v>5448.3422</v>
      </c>
      <c r="K64" s="4">
        <v>1070.3792000000001</v>
      </c>
      <c r="L64" s="4">
        <v>4377.9629999999997</v>
      </c>
      <c r="M64" s="4">
        <v>131864.1323</v>
      </c>
      <c r="N64" s="4">
        <v>128896.1235</v>
      </c>
      <c r="O64" s="4">
        <v>1872.9113</v>
      </c>
      <c r="P64" s="4">
        <v>1095.0975000000001</v>
      </c>
      <c r="Q64" s="4">
        <v>1279.0709999999999</v>
      </c>
      <c r="R64" s="4">
        <v>45576.910499999998</v>
      </c>
      <c r="S64" s="4">
        <v>3506.9032999999999</v>
      </c>
      <c r="T64" s="4">
        <v>188792.39939999999</v>
      </c>
      <c r="U64" s="4">
        <v>0</v>
      </c>
      <c r="V64" s="4">
        <v>0</v>
      </c>
      <c r="W64" s="4">
        <v>7928.3023999999996</v>
      </c>
      <c r="X64" s="4">
        <v>178.95240000000001</v>
      </c>
      <c r="Y64" s="4">
        <v>7749.3499000000002</v>
      </c>
      <c r="Z64" s="4">
        <v>9875.3958999999995</v>
      </c>
      <c r="AA64" s="4">
        <v>2685.4348</v>
      </c>
      <c r="AB64" s="4">
        <v>7189.9611000000004</v>
      </c>
      <c r="AC64" s="4">
        <v>131684.60550000001</v>
      </c>
      <c r="AD64" s="4">
        <v>131684.60550000001</v>
      </c>
      <c r="AE64" s="4">
        <v>0</v>
      </c>
      <c r="AF64" s="4">
        <v>0</v>
      </c>
      <c r="AG64" s="4">
        <v>39304.095699999998</v>
      </c>
    </row>
    <row r="65" spans="1:33" x14ac:dyDescent="0.2">
      <c r="A65" s="3">
        <v>43160</v>
      </c>
      <c r="B65" s="4">
        <v>192997.98730000001</v>
      </c>
      <c r="C65" s="4">
        <v>7684.2016000000003</v>
      </c>
      <c r="D65" s="4">
        <v>3974.5832</v>
      </c>
      <c r="E65" s="4">
        <v>3709.6185</v>
      </c>
      <c r="F65" s="5">
        <v>390.16660000000002</v>
      </c>
      <c r="G65" s="4">
        <v>30.677299999999999</v>
      </c>
      <c r="H65" s="4">
        <v>359.48930000000001</v>
      </c>
      <c r="I65" s="4">
        <v>703.29070000000002</v>
      </c>
      <c r="J65" s="5">
        <v>5608.1059999999998</v>
      </c>
      <c r="K65" s="4">
        <v>1073.6083000000001</v>
      </c>
      <c r="L65" s="4">
        <v>4534.4976999999999</v>
      </c>
      <c r="M65" s="4">
        <v>131010.4633</v>
      </c>
      <c r="N65" s="4">
        <v>127720.6035</v>
      </c>
      <c r="O65" s="4">
        <v>2057.8285999999998</v>
      </c>
      <c r="P65" s="4">
        <v>1232.0311999999999</v>
      </c>
      <c r="Q65" s="4">
        <v>1288.2627</v>
      </c>
      <c r="R65" s="4">
        <v>46313.496200000001</v>
      </c>
      <c r="S65" s="4">
        <v>3301.4261999999999</v>
      </c>
      <c r="T65" s="4">
        <v>189696.56109999999</v>
      </c>
      <c r="U65" s="4">
        <v>0</v>
      </c>
      <c r="V65" s="4">
        <v>0</v>
      </c>
      <c r="W65" s="4">
        <v>7773.8977000000004</v>
      </c>
      <c r="X65" s="4">
        <v>275.92239999999998</v>
      </c>
      <c r="Y65" s="4">
        <v>7497.9753000000001</v>
      </c>
      <c r="Z65" s="4">
        <v>10522.594800000001</v>
      </c>
      <c r="AA65" s="4">
        <v>2806.6590000000001</v>
      </c>
      <c r="AB65" s="4">
        <v>7715.9358000000002</v>
      </c>
      <c r="AC65" s="4">
        <v>130449.2075</v>
      </c>
      <c r="AD65" s="4">
        <v>130449.2075</v>
      </c>
      <c r="AE65" s="4">
        <v>0</v>
      </c>
      <c r="AF65" s="4">
        <v>0</v>
      </c>
      <c r="AG65" s="4">
        <v>40950.861199999999</v>
      </c>
    </row>
    <row r="66" spans="1:33" x14ac:dyDescent="0.2">
      <c r="A66" s="3">
        <v>43252</v>
      </c>
      <c r="B66" s="4">
        <v>198048.5601</v>
      </c>
      <c r="C66" s="4">
        <v>7373.1094999999996</v>
      </c>
      <c r="D66" s="4">
        <v>3628.7411000000002</v>
      </c>
      <c r="E66" s="4">
        <v>3744.3685</v>
      </c>
      <c r="F66" s="5">
        <v>440.95859999999999</v>
      </c>
      <c r="G66" s="4">
        <v>35.878900000000002</v>
      </c>
      <c r="H66" s="4">
        <v>405.0797</v>
      </c>
      <c r="I66" s="4">
        <v>679.55160000000001</v>
      </c>
      <c r="J66" s="5">
        <v>5763.3870999999999</v>
      </c>
      <c r="K66" s="4">
        <v>1084.7556999999999</v>
      </c>
      <c r="L66" s="4">
        <v>4678.6314000000002</v>
      </c>
      <c r="M66" s="4">
        <v>135393.03659999999</v>
      </c>
      <c r="N66" s="4">
        <v>132282.984</v>
      </c>
      <c r="O66" s="4">
        <v>1804.0053</v>
      </c>
      <c r="P66" s="4">
        <v>1306.0473</v>
      </c>
      <c r="Q66" s="4">
        <v>1299.2137</v>
      </c>
      <c r="R66" s="4">
        <v>47099.303</v>
      </c>
      <c r="S66" s="4">
        <v>3343.9380000000001</v>
      </c>
      <c r="T66" s="4">
        <v>194704.62220000001</v>
      </c>
      <c r="U66" s="4">
        <v>0</v>
      </c>
      <c r="V66" s="4">
        <v>0</v>
      </c>
      <c r="W66" s="4">
        <v>8178.4224000000004</v>
      </c>
      <c r="X66" s="4">
        <v>303.50189999999998</v>
      </c>
      <c r="Y66" s="4">
        <v>7874.9205000000002</v>
      </c>
      <c r="Z66" s="4">
        <v>10912.573</v>
      </c>
      <c r="AA66" s="4">
        <v>2855.1024000000002</v>
      </c>
      <c r="AB66" s="4">
        <v>8057.4706999999999</v>
      </c>
      <c r="AC66" s="4">
        <v>133140.18400000001</v>
      </c>
      <c r="AD66" s="4">
        <v>133140.18400000001</v>
      </c>
      <c r="AE66" s="4">
        <v>0</v>
      </c>
      <c r="AF66" s="4">
        <v>0</v>
      </c>
      <c r="AG66" s="4">
        <v>42473.4427</v>
      </c>
    </row>
    <row r="67" spans="1:33" x14ac:dyDescent="0.2">
      <c r="A67" s="3">
        <v>43344</v>
      </c>
      <c r="B67" s="4">
        <v>202723.28419999999</v>
      </c>
      <c r="C67" s="4">
        <v>8244.8924000000006</v>
      </c>
      <c r="D67" s="4">
        <v>3777.9261999999999</v>
      </c>
      <c r="E67" s="4">
        <v>4466.9663</v>
      </c>
      <c r="F67" s="5">
        <v>525.39620000000002</v>
      </c>
      <c r="G67" s="4">
        <v>55.902200000000001</v>
      </c>
      <c r="H67" s="4">
        <v>469.4939</v>
      </c>
      <c r="I67" s="4">
        <v>601.35940000000005</v>
      </c>
      <c r="J67" s="5">
        <v>5943.9205000000002</v>
      </c>
      <c r="K67" s="4">
        <v>1170.9639</v>
      </c>
      <c r="L67" s="4">
        <v>4772.9566000000004</v>
      </c>
      <c r="M67" s="4">
        <v>138167.38140000001</v>
      </c>
      <c r="N67" s="4">
        <v>134923.17019999999</v>
      </c>
      <c r="O67" s="4">
        <v>1868.4149</v>
      </c>
      <c r="P67" s="4">
        <v>1375.7963</v>
      </c>
      <c r="Q67" s="4">
        <v>1333.1096</v>
      </c>
      <c r="R67" s="4">
        <v>47907.224699999999</v>
      </c>
      <c r="S67" s="4">
        <v>4338.6468000000004</v>
      </c>
      <c r="T67" s="4">
        <v>198384.63740000001</v>
      </c>
      <c r="U67" s="4">
        <v>0</v>
      </c>
      <c r="V67" s="4">
        <v>0</v>
      </c>
      <c r="W67" s="4">
        <v>8490.1762999999992</v>
      </c>
      <c r="X67" s="4">
        <v>331.79660000000001</v>
      </c>
      <c r="Y67" s="4">
        <v>8158.3797000000004</v>
      </c>
      <c r="Z67" s="4">
        <v>11530.8334</v>
      </c>
      <c r="AA67" s="4">
        <v>2993.9830000000002</v>
      </c>
      <c r="AB67" s="4">
        <v>8536.8503999999994</v>
      </c>
      <c r="AC67" s="4">
        <v>134588.79070000001</v>
      </c>
      <c r="AD67" s="4">
        <v>134588.79070000001</v>
      </c>
      <c r="AE67" s="4">
        <v>0</v>
      </c>
      <c r="AF67" s="4">
        <v>0</v>
      </c>
      <c r="AG67" s="4">
        <v>43774.837099999997</v>
      </c>
    </row>
    <row r="68" spans="1:33" x14ac:dyDescent="0.2">
      <c r="A68" s="3">
        <v>43435</v>
      </c>
      <c r="B68" s="4">
        <v>206177.30429999999</v>
      </c>
      <c r="C68" s="4">
        <v>8961.4871000000003</v>
      </c>
      <c r="D68" s="4">
        <v>4081.7343999999998</v>
      </c>
      <c r="E68" s="4">
        <v>4879.7528000000002</v>
      </c>
      <c r="F68" s="5">
        <v>485.59</v>
      </c>
      <c r="G68" s="4">
        <v>34.74</v>
      </c>
      <c r="H68" s="4">
        <v>450.85</v>
      </c>
      <c r="I68" s="4">
        <v>512.14559999999994</v>
      </c>
      <c r="J68" s="5">
        <v>6233.7722000000003</v>
      </c>
      <c r="K68" s="4">
        <v>1212.5427999999999</v>
      </c>
      <c r="L68" s="4">
        <v>5021.2293</v>
      </c>
      <c r="M68" s="4">
        <v>139121.8094</v>
      </c>
      <c r="N68" s="4">
        <v>135798.81890000001</v>
      </c>
      <c r="O68" s="4">
        <v>1880.7103</v>
      </c>
      <c r="P68" s="4">
        <v>1442.2801999999999</v>
      </c>
      <c r="Q68" s="4">
        <v>1326.3426999999999</v>
      </c>
      <c r="R68" s="4">
        <v>49536.157399999996</v>
      </c>
      <c r="S68" s="4">
        <v>4053.7067000000002</v>
      </c>
      <c r="T68" s="4">
        <v>202123.59760000001</v>
      </c>
      <c r="U68" s="4">
        <v>0</v>
      </c>
      <c r="V68" s="4">
        <v>0</v>
      </c>
      <c r="W68" s="4">
        <v>8909.4336000000003</v>
      </c>
      <c r="X68" s="4">
        <v>367.87819999999999</v>
      </c>
      <c r="Y68" s="4">
        <v>8541.5553</v>
      </c>
      <c r="Z68" s="4">
        <v>13361.717199999999</v>
      </c>
      <c r="AA68" s="4">
        <v>3401.3463999999999</v>
      </c>
      <c r="AB68" s="4">
        <v>9960.3708000000006</v>
      </c>
      <c r="AC68" s="4">
        <v>134929.7739</v>
      </c>
      <c r="AD68" s="4">
        <v>134929.7739</v>
      </c>
      <c r="AE68" s="4">
        <v>0</v>
      </c>
      <c r="AF68" s="4">
        <v>0</v>
      </c>
      <c r="AG68" s="4">
        <v>44922.672899999998</v>
      </c>
    </row>
    <row r="69" spans="1:33" x14ac:dyDescent="0.2">
      <c r="A69" s="3">
        <v>43525</v>
      </c>
      <c r="B69" s="4">
        <v>205352.04</v>
      </c>
      <c r="C69" s="4">
        <v>8795.5072999999993</v>
      </c>
      <c r="D69" s="4">
        <v>4005.3022000000001</v>
      </c>
      <c r="E69" s="4">
        <v>4790.2051000000001</v>
      </c>
      <c r="F69" s="5">
        <v>549.96109999999999</v>
      </c>
      <c r="G69" s="4">
        <v>63.214199999999998</v>
      </c>
      <c r="H69" s="4">
        <v>486.74689999999998</v>
      </c>
      <c r="I69" s="4">
        <v>623.65769999999998</v>
      </c>
      <c r="J69" s="5">
        <v>6294.5676999999996</v>
      </c>
      <c r="K69" s="4">
        <v>1161.7618</v>
      </c>
      <c r="L69" s="4">
        <v>5132.8059000000003</v>
      </c>
      <c r="M69" s="4">
        <v>137203.56229999999</v>
      </c>
      <c r="N69" s="4">
        <v>133602.0085</v>
      </c>
      <c r="O69" s="4">
        <v>1993.0600999999999</v>
      </c>
      <c r="P69" s="4">
        <v>1608.4937</v>
      </c>
      <c r="Q69" s="4">
        <v>1399.1343999999999</v>
      </c>
      <c r="R69" s="4">
        <v>50485.6495</v>
      </c>
      <c r="S69" s="4">
        <v>3877.6623</v>
      </c>
      <c r="T69" s="4">
        <v>201474.37770000001</v>
      </c>
      <c r="U69" s="4">
        <v>0</v>
      </c>
      <c r="V69" s="4">
        <v>0</v>
      </c>
      <c r="W69" s="4">
        <v>9289.3901999999998</v>
      </c>
      <c r="X69" s="4">
        <v>376.65019999999998</v>
      </c>
      <c r="Y69" s="4">
        <v>8912.7399000000005</v>
      </c>
      <c r="Z69" s="4">
        <v>13329.1026</v>
      </c>
      <c r="AA69" s="4">
        <v>3287.2885999999999</v>
      </c>
      <c r="AB69" s="4">
        <v>10041.814</v>
      </c>
      <c r="AC69" s="4">
        <v>133334.859</v>
      </c>
      <c r="AD69" s="4">
        <v>133334.859</v>
      </c>
      <c r="AE69" s="4">
        <v>0</v>
      </c>
      <c r="AF69" s="4">
        <v>0</v>
      </c>
      <c r="AG69" s="4">
        <v>45521.025900000001</v>
      </c>
    </row>
    <row r="70" spans="1:33" x14ac:dyDescent="0.2">
      <c r="A70" s="3">
        <v>43617</v>
      </c>
      <c r="B70" s="4">
        <v>201434.2782</v>
      </c>
      <c r="C70" s="4">
        <v>8135.6674999999996</v>
      </c>
      <c r="D70" s="4">
        <v>4050.6599000000001</v>
      </c>
      <c r="E70" s="4">
        <v>4085.0075999999999</v>
      </c>
      <c r="F70" s="5">
        <v>514.14800000000002</v>
      </c>
      <c r="G70" s="4">
        <v>44.3339</v>
      </c>
      <c r="H70" s="4">
        <v>469.8141</v>
      </c>
      <c r="I70" s="4">
        <v>622.88649999999996</v>
      </c>
      <c r="J70" s="5">
        <v>6328.3586999999998</v>
      </c>
      <c r="K70" s="4">
        <v>1182.069</v>
      </c>
      <c r="L70" s="4">
        <v>5146.2897000000003</v>
      </c>
      <c r="M70" s="4">
        <v>132974.5624</v>
      </c>
      <c r="N70" s="4">
        <v>129257.6395</v>
      </c>
      <c r="O70" s="4">
        <v>1956.7796000000001</v>
      </c>
      <c r="P70" s="4">
        <v>1760.1433999999999</v>
      </c>
      <c r="Q70" s="4">
        <v>1467.2728</v>
      </c>
      <c r="R70" s="4">
        <v>51391.382299999997</v>
      </c>
      <c r="S70" s="4">
        <v>3271.1677</v>
      </c>
      <c r="T70" s="4">
        <v>198163.11050000001</v>
      </c>
      <c r="U70" s="4">
        <v>0</v>
      </c>
      <c r="V70" s="4">
        <v>0</v>
      </c>
      <c r="W70" s="4">
        <v>9684.8701000000001</v>
      </c>
      <c r="X70" s="4">
        <v>321.44540000000001</v>
      </c>
      <c r="Y70" s="4">
        <v>9363.4246999999996</v>
      </c>
      <c r="Z70" s="4">
        <v>13300.489100000001</v>
      </c>
      <c r="AA70" s="4">
        <v>3177.8436999999999</v>
      </c>
      <c r="AB70" s="4">
        <v>10122.645399999999</v>
      </c>
      <c r="AC70" s="4">
        <v>129491.4684</v>
      </c>
      <c r="AD70" s="4">
        <v>129491.4684</v>
      </c>
      <c r="AE70" s="4">
        <v>0</v>
      </c>
      <c r="AF70" s="4">
        <v>0</v>
      </c>
      <c r="AG70" s="4">
        <v>45686.282899999998</v>
      </c>
    </row>
    <row r="71" spans="1:33" x14ac:dyDescent="0.2">
      <c r="A71" s="3">
        <v>43709</v>
      </c>
      <c r="B71" s="4">
        <v>212196.64679999999</v>
      </c>
      <c r="C71" s="4">
        <v>8709.3328000000001</v>
      </c>
      <c r="D71" s="4">
        <v>4133.7658000000001</v>
      </c>
      <c r="E71" s="4">
        <v>4575.567</v>
      </c>
      <c r="F71" s="5">
        <v>546.89710000000002</v>
      </c>
      <c r="G71" s="4">
        <v>48.017099999999999</v>
      </c>
      <c r="H71" s="4">
        <v>498.88010000000003</v>
      </c>
      <c r="I71" s="4">
        <v>613.38679999999999</v>
      </c>
      <c r="J71" s="5">
        <v>6488.6896999999999</v>
      </c>
      <c r="K71" s="4">
        <v>1151.3307</v>
      </c>
      <c r="L71" s="4">
        <v>5337.3590000000004</v>
      </c>
      <c r="M71" s="4">
        <v>139330.5159</v>
      </c>
      <c r="N71" s="4">
        <v>135264.4411</v>
      </c>
      <c r="O71" s="4">
        <v>2173.3000999999999</v>
      </c>
      <c r="P71" s="4">
        <v>1892.7746999999999</v>
      </c>
      <c r="Q71" s="4">
        <v>1553.3200999999999</v>
      </c>
      <c r="R71" s="4">
        <v>54954.504500000003</v>
      </c>
      <c r="S71" s="4">
        <v>3863.0601999999999</v>
      </c>
      <c r="T71" s="4">
        <v>208333.58660000001</v>
      </c>
      <c r="U71" s="4">
        <v>0</v>
      </c>
      <c r="V71" s="4">
        <v>0</v>
      </c>
      <c r="W71" s="4">
        <v>10292.1188</v>
      </c>
      <c r="X71" s="4">
        <v>306.87569999999999</v>
      </c>
      <c r="Y71" s="4">
        <v>9985.2430000000004</v>
      </c>
      <c r="Z71" s="4">
        <v>14474.8482</v>
      </c>
      <c r="AA71" s="4">
        <v>3804.9967999999999</v>
      </c>
      <c r="AB71" s="4">
        <v>10669.8514</v>
      </c>
      <c r="AC71" s="4">
        <v>135210.41519999999</v>
      </c>
      <c r="AD71" s="4">
        <v>135210.41519999999</v>
      </c>
      <c r="AE71" s="4">
        <v>0</v>
      </c>
      <c r="AF71" s="4">
        <v>0</v>
      </c>
      <c r="AG71" s="4">
        <v>48356.204400000002</v>
      </c>
    </row>
    <row r="72" spans="1:33" x14ac:dyDescent="0.2">
      <c r="A72" s="3">
        <v>43800</v>
      </c>
      <c r="B72" s="4">
        <v>216074.8725</v>
      </c>
      <c r="C72" s="4">
        <v>9483.7528000000002</v>
      </c>
      <c r="D72" s="4">
        <v>4866.45</v>
      </c>
      <c r="E72" s="4">
        <v>4617.3028000000004</v>
      </c>
      <c r="F72" s="5">
        <v>663.73979999999995</v>
      </c>
      <c r="G72" s="4">
        <v>75.458600000000004</v>
      </c>
      <c r="H72" s="4">
        <v>588.28120000000001</v>
      </c>
      <c r="I72" s="4">
        <v>718.10799999999995</v>
      </c>
      <c r="J72" s="5">
        <v>6437.4368000000004</v>
      </c>
      <c r="K72" s="4">
        <v>1158.3670999999999</v>
      </c>
      <c r="L72" s="4">
        <v>5279.0697</v>
      </c>
      <c r="M72" s="4">
        <v>139889.1581</v>
      </c>
      <c r="N72" s="4">
        <v>135967.29060000001</v>
      </c>
      <c r="O72" s="4">
        <v>2118.3090999999999</v>
      </c>
      <c r="P72" s="4">
        <v>1803.5585000000001</v>
      </c>
      <c r="Q72" s="4">
        <v>1583.521</v>
      </c>
      <c r="R72" s="4">
        <v>57299.155899999998</v>
      </c>
      <c r="S72" s="4">
        <v>3810.8638000000001</v>
      </c>
      <c r="T72" s="4">
        <v>212264.00880000001</v>
      </c>
      <c r="U72" s="4">
        <v>0</v>
      </c>
      <c r="V72" s="4">
        <v>0</v>
      </c>
      <c r="W72" s="4">
        <v>9674.9650000000001</v>
      </c>
      <c r="X72" s="4">
        <v>324.12880000000001</v>
      </c>
      <c r="Y72" s="4">
        <v>9350.8363000000008</v>
      </c>
      <c r="Z72" s="4">
        <v>15605.6106</v>
      </c>
      <c r="AA72" s="4">
        <v>4165.3073000000004</v>
      </c>
      <c r="AB72" s="4">
        <v>11440.3033</v>
      </c>
      <c r="AC72" s="4">
        <v>136865.60459999999</v>
      </c>
      <c r="AD72" s="4">
        <v>136865.60459999999</v>
      </c>
      <c r="AE72" s="4">
        <v>0</v>
      </c>
      <c r="AF72" s="4">
        <v>0</v>
      </c>
      <c r="AG72" s="4">
        <v>50117.828600000001</v>
      </c>
    </row>
    <row r="73" spans="1:33" x14ac:dyDescent="0.2">
      <c r="A73" s="3">
        <v>43891</v>
      </c>
      <c r="B73" s="4">
        <v>213022.14910000001</v>
      </c>
      <c r="C73" s="4">
        <v>8837.5936999999994</v>
      </c>
      <c r="D73" s="4">
        <v>4534.4898000000003</v>
      </c>
      <c r="E73" s="4">
        <v>4303.1039000000001</v>
      </c>
      <c r="F73" s="5">
        <v>737.82820000000004</v>
      </c>
      <c r="G73" s="4">
        <v>49.0124</v>
      </c>
      <c r="H73" s="4">
        <v>688.81590000000006</v>
      </c>
      <c r="I73" s="4">
        <v>938.48869999999999</v>
      </c>
      <c r="J73" s="5">
        <v>6711.7168000000001</v>
      </c>
      <c r="K73" s="4">
        <v>1227.4481000000001</v>
      </c>
      <c r="L73" s="4">
        <v>5484.2686999999996</v>
      </c>
      <c r="M73" s="4">
        <v>136256.32550000001</v>
      </c>
      <c r="N73" s="4">
        <v>132227.6943</v>
      </c>
      <c r="O73" s="4">
        <v>2242.0900999999999</v>
      </c>
      <c r="P73" s="4">
        <v>1786.5410999999999</v>
      </c>
      <c r="Q73" s="4">
        <v>1427.6165000000001</v>
      </c>
      <c r="R73" s="4">
        <v>58112.5795</v>
      </c>
      <c r="S73" s="4">
        <v>2882.6293000000001</v>
      </c>
      <c r="T73" s="4">
        <v>210139.51980000001</v>
      </c>
      <c r="U73" s="4">
        <v>0</v>
      </c>
      <c r="V73" s="4">
        <v>0</v>
      </c>
      <c r="W73" s="4">
        <v>10138.9848</v>
      </c>
      <c r="X73" s="4">
        <v>247.54470000000001</v>
      </c>
      <c r="Y73" s="4">
        <v>9891.44</v>
      </c>
      <c r="Z73" s="4">
        <v>16620.780200000001</v>
      </c>
      <c r="AA73" s="4">
        <v>4778.1045000000004</v>
      </c>
      <c r="AB73" s="4">
        <v>11842.6757</v>
      </c>
      <c r="AC73" s="4">
        <v>133649.5196</v>
      </c>
      <c r="AD73" s="4">
        <v>133649.5196</v>
      </c>
      <c r="AE73" s="4">
        <v>0</v>
      </c>
      <c r="AF73" s="4">
        <v>0</v>
      </c>
      <c r="AG73" s="4">
        <v>49730.235200000003</v>
      </c>
    </row>
    <row r="74" spans="1:33" x14ac:dyDescent="0.2">
      <c r="A74" s="3">
        <v>43983</v>
      </c>
      <c r="B74" s="4">
        <v>211014.984</v>
      </c>
      <c r="C74" s="4">
        <v>9127.2373000000007</v>
      </c>
      <c r="D74" s="4">
        <v>5360.6216999999997</v>
      </c>
      <c r="E74" s="4">
        <v>3766.6154999999999</v>
      </c>
      <c r="F74" s="5">
        <v>743.15049999999997</v>
      </c>
      <c r="G74" s="4">
        <v>105.44110000000001</v>
      </c>
      <c r="H74" s="4">
        <v>637.70929999999998</v>
      </c>
      <c r="I74" s="4">
        <v>813.87509999999997</v>
      </c>
      <c r="J74" s="5">
        <v>6313.5244000000002</v>
      </c>
      <c r="K74" s="4">
        <v>1157.0195000000001</v>
      </c>
      <c r="L74" s="4">
        <v>5156.5048999999999</v>
      </c>
      <c r="M74" s="4">
        <v>135954.50779999999</v>
      </c>
      <c r="N74" s="4">
        <v>132033.6183</v>
      </c>
      <c r="O74" s="4">
        <v>2147.0567000000001</v>
      </c>
      <c r="P74" s="4">
        <v>1773.8327999999999</v>
      </c>
      <c r="Q74" s="4">
        <v>1618.4313999999999</v>
      </c>
      <c r="R74" s="4">
        <v>56444.257599999997</v>
      </c>
      <c r="S74" s="4">
        <v>1606.9278999999999</v>
      </c>
      <c r="T74" s="4">
        <v>209408.05619999999</v>
      </c>
      <c r="U74" s="4">
        <v>0</v>
      </c>
      <c r="V74" s="4">
        <v>0</v>
      </c>
      <c r="W74" s="4">
        <v>10297.083199999999</v>
      </c>
      <c r="X74" s="4">
        <v>125.24160000000001</v>
      </c>
      <c r="Y74" s="4">
        <v>10171.8416</v>
      </c>
      <c r="Z74" s="4">
        <v>15940.337600000001</v>
      </c>
      <c r="AA74" s="4">
        <v>4395.3393999999998</v>
      </c>
      <c r="AB74" s="4">
        <v>11544.9982</v>
      </c>
      <c r="AC74" s="4">
        <v>133318.7684</v>
      </c>
      <c r="AD74" s="4">
        <v>133318.7684</v>
      </c>
      <c r="AE74" s="4">
        <v>0</v>
      </c>
      <c r="AF74" s="4">
        <v>0</v>
      </c>
      <c r="AG74" s="4">
        <v>49851.866999999998</v>
      </c>
    </row>
    <row r="75" spans="1:33" x14ac:dyDescent="0.2">
      <c r="A75" s="3">
        <v>44075</v>
      </c>
      <c r="B75" s="4">
        <v>207356.9069</v>
      </c>
      <c r="C75" s="4">
        <v>9196.0815000000002</v>
      </c>
      <c r="D75" s="4">
        <v>5955.7456000000002</v>
      </c>
      <c r="E75" s="4">
        <v>3240.3359</v>
      </c>
      <c r="F75" s="5">
        <v>683.38379999999995</v>
      </c>
      <c r="G75" s="4">
        <v>160.12090000000001</v>
      </c>
      <c r="H75" s="4">
        <v>523.26279999999997</v>
      </c>
      <c r="I75" s="4">
        <v>719.55579999999998</v>
      </c>
      <c r="J75" s="5">
        <v>6179.0087000000003</v>
      </c>
      <c r="K75" s="4">
        <v>1108.3765000000001</v>
      </c>
      <c r="L75" s="4">
        <v>5070.6322</v>
      </c>
      <c r="M75" s="4">
        <v>134751.52660000001</v>
      </c>
      <c r="N75" s="4">
        <v>130713.6777</v>
      </c>
      <c r="O75" s="4">
        <v>2233.6988999999999</v>
      </c>
      <c r="P75" s="4">
        <v>1804.15</v>
      </c>
      <c r="Q75" s="4">
        <v>1526.4869000000001</v>
      </c>
      <c r="R75" s="4">
        <v>54300.863700000002</v>
      </c>
      <c r="S75" s="4">
        <v>999.69090000000006</v>
      </c>
      <c r="T75" s="4">
        <v>206357.21599999999</v>
      </c>
      <c r="U75" s="4">
        <v>0</v>
      </c>
      <c r="V75" s="4">
        <v>0</v>
      </c>
      <c r="W75" s="4">
        <v>10418.8986</v>
      </c>
      <c r="X75" s="4">
        <v>247.58500000000001</v>
      </c>
      <c r="Y75" s="4">
        <v>10171.3135</v>
      </c>
      <c r="Z75" s="4">
        <v>15144.137000000001</v>
      </c>
      <c r="AA75" s="4">
        <v>3780.9394000000002</v>
      </c>
      <c r="AB75" s="4">
        <v>11363.1975</v>
      </c>
      <c r="AC75" s="4">
        <v>131634.40580000001</v>
      </c>
      <c r="AD75" s="4">
        <v>131634.40580000001</v>
      </c>
      <c r="AE75" s="4">
        <v>0</v>
      </c>
      <c r="AF75" s="4">
        <v>0</v>
      </c>
      <c r="AG75" s="4">
        <v>49159.774700000002</v>
      </c>
    </row>
    <row r="76" spans="1:33" x14ac:dyDescent="0.2">
      <c r="A76" s="3">
        <v>44166</v>
      </c>
      <c r="B76" s="4">
        <v>202964.8946</v>
      </c>
      <c r="C76" s="4">
        <v>8720.3454999999994</v>
      </c>
      <c r="D76" s="4">
        <v>5719.0938999999998</v>
      </c>
      <c r="E76" s="4">
        <v>3001.2516999999998</v>
      </c>
      <c r="F76" s="5">
        <v>732.08109999999999</v>
      </c>
      <c r="G76" s="4">
        <v>85.214200000000005</v>
      </c>
      <c r="H76" s="4">
        <v>646.86689999999999</v>
      </c>
      <c r="I76" s="4">
        <v>704.17439999999999</v>
      </c>
      <c r="J76" s="5">
        <v>6213.4222</v>
      </c>
      <c r="K76" s="4">
        <v>1054.3413</v>
      </c>
      <c r="L76" s="4">
        <v>5159.0808999999999</v>
      </c>
      <c r="M76" s="4">
        <v>131301.15650000001</v>
      </c>
      <c r="N76" s="4">
        <v>127586.0791</v>
      </c>
      <c r="O76" s="4">
        <v>2016.0137999999999</v>
      </c>
      <c r="P76" s="4">
        <v>1699.0636</v>
      </c>
      <c r="Q76" s="4">
        <v>1579.1723999999999</v>
      </c>
      <c r="R76" s="4">
        <v>53714.542500000003</v>
      </c>
      <c r="S76" s="4">
        <v>-2411.2689</v>
      </c>
      <c r="T76" s="4">
        <v>205376.1636</v>
      </c>
      <c r="U76" s="4">
        <v>0</v>
      </c>
      <c r="V76" s="4">
        <v>0</v>
      </c>
      <c r="W76" s="4">
        <v>10698.494000000001</v>
      </c>
      <c r="X76" s="4">
        <v>444.05340000000001</v>
      </c>
      <c r="Y76" s="4">
        <v>10254.4406</v>
      </c>
      <c r="Z76" s="4">
        <v>14258.8778</v>
      </c>
      <c r="AA76" s="4">
        <v>3660.1226999999999</v>
      </c>
      <c r="AB76" s="4">
        <v>10598.7551</v>
      </c>
      <c r="AC76" s="4">
        <v>131303.3187</v>
      </c>
      <c r="AD76" s="4">
        <v>131303.3187</v>
      </c>
      <c r="AE76" s="4">
        <v>0</v>
      </c>
      <c r="AF76" s="4">
        <v>0</v>
      </c>
      <c r="AG76" s="4">
        <v>49115.473100000003</v>
      </c>
    </row>
    <row r="77" spans="1:33" x14ac:dyDescent="0.2">
      <c r="A77" s="3">
        <v>44256</v>
      </c>
      <c r="B77" s="4">
        <v>212691.02119999999</v>
      </c>
      <c r="C77" s="4">
        <v>8313.31</v>
      </c>
      <c r="D77" s="4">
        <v>5390.5011999999997</v>
      </c>
      <c r="E77" s="4">
        <v>2922.8087</v>
      </c>
      <c r="F77" s="5">
        <v>761.26199999999994</v>
      </c>
      <c r="G77" s="4">
        <v>73.803200000000004</v>
      </c>
      <c r="H77" s="4">
        <v>687.45870000000002</v>
      </c>
      <c r="I77" s="4">
        <v>731.36559999999997</v>
      </c>
      <c r="J77" s="5">
        <v>6206.8023000000003</v>
      </c>
      <c r="K77" s="4">
        <v>1030.3198</v>
      </c>
      <c r="L77" s="4">
        <v>5176.4825000000001</v>
      </c>
      <c r="M77" s="4">
        <v>138833.93859999999</v>
      </c>
      <c r="N77" s="4">
        <v>135033.88399999999</v>
      </c>
      <c r="O77" s="4">
        <v>2047.7927</v>
      </c>
      <c r="P77" s="4">
        <v>1752.2619</v>
      </c>
      <c r="Q77" s="4">
        <v>1496.0379</v>
      </c>
      <c r="R77" s="4">
        <v>56348.304900000003</v>
      </c>
      <c r="S77" s="4">
        <v>-276.87029999999999</v>
      </c>
      <c r="T77" s="4">
        <v>212967.8915</v>
      </c>
      <c r="U77" s="4">
        <v>0</v>
      </c>
      <c r="V77" s="4">
        <v>0</v>
      </c>
      <c r="W77" s="4">
        <v>10850.954</v>
      </c>
      <c r="X77" s="4">
        <v>412.73719999999997</v>
      </c>
      <c r="Y77" s="4">
        <v>10438.2168</v>
      </c>
      <c r="Z77" s="4">
        <v>14000.323899999999</v>
      </c>
      <c r="AA77" s="4">
        <v>3463.5693999999999</v>
      </c>
      <c r="AB77" s="4">
        <v>10536.754499999999</v>
      </c>
      <c r="AC77" s="4">
        <v>136795.12390000001</v>
      </c>
      <c r="AD77" s="4">
        <v>136795.12390000001</v>
      </c>
      <c r="AE77" s="4">
        <v>0</v>
      </c>
      <c r="AF77" s="4">
        <v>0</v>
      </c>
      <c r="AG77" s="4">
        <v>51321.489800000003</v>
      </c>
    </row>
    <row r="78" spans="1:33" x14ac:dyDescent="0.2">
      <c r="A78" s="3">
        <v>44348</v>
      </c>
      <c r="B78" s="4">
        <v>213104.74900000001</v>
      </c>
      <c r="C78" s="4">
        <v>9000.6533999999992</v>
      </c>
      <c r="D78" s="4">
        <v>5912.1239999999998</v>
      </c>
      <c r="E78" s="4">
        <v>3088.5293999999999</v>
      </c>
      <c r="F78" s="5">
        <v>747.92</v>
      </c>
      <c r="G78" s="4">
        <v>160.83029999999999</v>
      </c>
      <c r="H78" s="4">
        <v>587.08969999999999</v>
      </c>
      <c r="I78" s="4">
        <v>719.26779999999997</v>
      </c>
      <c r="J78" s="5">
        <v>6133.4928</v>
      </c>
      <c r="K78" s="4">
        <v>996.46310000000005</v>
      </c>
      <c r="L78" s="4">
        <v>5137.0297</v>
      </c>
      <c r="M78" s="4">
        <v>138211.78339999999</v>
      </c>
      <c r="N78" s="4">
        <v>134614.11619999999</v>
      </c>
      <c r="O78" s="4">
        <v>1965.1621</v>
      </c>
      <c r="P78" s="4">
        <v>1632.5051000000001</v>
      </c>
      <c r="Q78" s="4">
        <v>1391.6320000000001</v>
      </c>
      <c r="R78" s="4">
        <v>56899.9997</v>
      </c>
      <c r="S78" s="4">
        <v>-2541.5925000000002</v>
      </c>
      <c r="T78" s="4">
        <v>215646.34150000001</v>
      </c>
      <c r="U78" s="4">
        <v>0</v>
      </c>
      <c r="V78" s="4">
        <v>0</v>
      </c>
      <c r="W78" s="4">
        <v>10718.450699999999</v>
      </c>
      <c r="X78" s="4">
        <v>308.44029999999998</v>
      </c>
      <c r="Y78" s="4">
        <v>10410.010399999999</v>
      </c>
      <c r="Z78" s="4">
        <v>13727.284100000001</v>
      </c>
      <c r="AA78" s="4">
        <v>3262.1212</v>
      </c>
      <c r="AB78" s="4">
        <v>10465.162899999999</v>
      </c>
      <c r="AC78" s="4">
        <v>138294.29920000001</v>
      </c>
      <c r="AD78" s="4">
        <v>138294.29920000001</v>
      </c>
      <c r="AE78" s="4">
        <v>0</v>
      </c>
      <c r="AF78" s="4">
        <v>0</v>
      </c>
      <c r="AG78" s="4">
        <v>52906.307500000003</v>
      </c>
    </row>
    <row r="79" spans="1:33" x14ac:dyDescent="0.2">
      <c r="A79" s="3">
        <v>44440</v>
      </c>
      <c r="B79" s="4">
        <v>216784.40779999999</v>
      </c>
      <c r="C79" s="4">
        <v>8448.5732000000007</v>
      </c>
      <c r="D79" s="4">
        <v>5164.3732</v>
      </c>
      <c r="E79" s="4">
        <v>3284.2</v>
      </c>
      <c r="F79" s="5">
        <v>831.11609999999996</v>
      </c>
      <c r="G79" s="4">
        <v>146.2525</v>
      </c>
      <c r="H79" s="4">
        <v>684.86360000000002</v>
      </c>
      <c r="I79" s="4">
        <v>817.43020000000001</v>
      </c>
      <c r="J79" s="5">
        <v>6267.1462000000001</v>
      </c>
      <c r="K79" s="4">
        <v>970.92070000000001</v>
      </c>
      <c r="L79" s="4">
        <v>5296.2254999999996</v>
      </c>
      <c r="M79" s="4">
        <v>141098.9124</v>
      </c>
      <c r="N79" s="4">
        <v>137452.24799999999</v>
      </c>
      <c r="O79" s="4">
        <v>1970.8096</v>
      </c>
      <c r="P79" s="4">
        <v>1675.8548000000001</v>
      </c>
      <c r="Q79" s="4">
        <v>1381.8190999999999</v>
      </c>
      <c r="R79" s="4">
        <v>57939.410600000003</v>
      </c>
      <c r="S79" s="4">
        <v>-1218.374</v>
      </c>
      <c r="T79" s="4">
        <v>218002.7818</v>
      </c>
      <c r="U79" s="4">
        <v>0</v>
      </c>
      <c r="V79" s="4">
        <v>0</v>
      </c>
      <c r="W79" s="4">
        <v>11488.674999999999</v>
      </c>
      <c r="X79" s="4">
        <v>195.86660000000001</v>
      </c>
      <c r="Y79" s="4">
        <v>11292.8084</v>
      </c>
      <c r="Z79" s="4">
        <v>13660.7449</v>
      </c>
      <c r="AA79" s="4">
        <v>3651.5488</v>
      </c>
      <c r="AB79" s="4">
        <v>10009.1962</v>
      </c>
      <c r="AC79" s="4">
        <v>139665.80170000001</v>
      </c>
      <c r="AD79" s="4">
        <v>139665.80170000001</v>
      </c>
      <c r="AE79" s="4">
        <v>0</v>
      </c>
      <c r="AF79" s="4">
        <v>0</v>
      </c>
      <c r="AG79" s="4">
        <v>53187.5602</v>
      </c>
    </row>
    <row r="80" spans="1:33" x14ac:dyDescent="0.2">
      <c r="A80" s="3">
        <v>44531</v>
      </c>
      <c r="B80" s="4">
        <v>217944.50210000001</v>
      </c>
      <c r="C80" s="4">
        <v>8951.1906999999992</v>
      </c>
      <c r="D80" s="4">
        <v>5625.7209999999995</v>
      </c>
      <c r="E80" s="4">
        <v>3325.4697000000001</v>
      </c>
      <c r="F80" s="5">
        <v>784.04769999999996</v>
      </c>
      <c r="G80" s="4">
        <v>113.07640000000001</v>
      </c>
      <c r="H80" s="4">
        <v>670.97130000000004</v>
      </c>
      <c r="I80" s="4">
        <v>812.024</v>
      </c>
      <c r="J80" s="5">
        <v>6384.6845999999996</v>
      </c>
      <c r="K80" s="4">
        <v>958.80039999999997</v>
      </c>
      <c r="L80" s="4">
        <v>5425.8842000000004</v>
      </c>
      <c r="M80" s="4">
        <v>140789.90299999999</v>
      </c>
      <c r="N80" s="4">
        <v>137416.93030000001</v>
      </c>
      <c r="O80" s="4">
        <v>1767.3072999999999</v>
      </c>
      <c r="P80" s="4">
        <v>1605.6652999999999</v>
      </c>
      <c r="Q80" s="4">
        <v>1433.8517999999999</v>
      </c>
      <c r="R80" s="4">
        <v>58788.800199999998</v>
      </c>
      <c r="S80" s="4">
        <v>-3256.9396999999999</v>
      </c>
      <c r="T80" s="4">
        <v>221201.4418</v>
      </c>
      <c r="U80" s="4">
        <v>0</v>
      </c>
      <c r="V80" s="4">
        <v>0</v>
      </c>
      <c r="W80" s="4">
        <v>11730.1803</v>
      </c>
      <c r="X80" s="4">
        <v>265.02159999999998</v>
      </c>
      <c r="Y80" s="4">
        <v>11465.1587</v>
      </c>
      <c r="Z80" s="4">
        <v>14387.819299999999</v>
      </c>
      <c r="AA80" s="4">
        <v>4174.1454999999996</v>
      </c>
      <c r="AB80" s="4">
        <v>10213.6738</v>
      </c>
      <c r="AC80" s="4">
        <v>141021.55609999999</v>
      </c>
      <c r="AD80" s="4">
        <v>141021.55609999999</v>
      </c>
      <c r="AE80" s="4">
        <v>0</v>
      </c>
      <c r="AF80" s="4">
        <v>0</v>
      </c>
      <c r="AG80" s="4">
        <v>54061.886100000003</v>
      </c>
    </row>
    <row r="81" spans="1:33" x14ac:dyDescent="0.2">
      <c r="A81" s="3">
        <v>44621</v>
      </c>
      <c r="B81" s="4">
        <v>221148.82879999999</v>
      </c>
      <c r="C81" s="4">
        <v>9160.9109000000008</v>
      </c>
      <c r="D81" s="4">
        <v>5773.0685999999996</v>
      </c>
      <c r="E81" s="4">
        <v>3387.8422999999998</v>
      </c>
      <c r="F81" s="5">
        <v>682.28769999999997</v>
      </c>
      <c r="G81" s="4">
        <v>128.61539999999999</v>
      </c>
      <c r="H81" s="4">
        <v>553.67229999999995</v>
      </c>
      <c r="I81" s="4">
        <v>883.34929999999997</v>
      </c>
      <c r="J81" s="5">
        <v>6683.5396000000001</v>
      </c>
      <c r="K81" s="4">
        <v>986.14059999999995</v>
      </c>
      <c r="L81" s="4">
        <v>5697.3990000000003</v>
      </c>
      <c r="M81" s="4">
        <v>142216.28539999999</v>
      </c>
      <c r="N81" s="4">
        <v>138916.71950000001</v>
      </c>
      <c r="O81" s="4">
        <v>1749.4792</v>
      </c>
      <c r="P81" s="4">
        <v>1550.0867000000001</v>
      </c>
      <c r="Q81" s="4">
        <v>1367.9903999999999</v>
      </c>
      <c r="R81" s="4">
        <v>60154.465499999998</v>
      </c>
      <c r="S81" s="4">
        <v>2079.4985999999999</v>
      </c>
      <c r="T81" s="4">
        <v>219069.3302</v>
      </c>
      <c r="U81" s="4">
        <v>0</v>
      </c>
      <c r="V81" s="4">
        <v>0</v>
      </c>
      <c r="W81" s="4">
        <v>11181.962299999999</v>
      </c>
      <c r="X81" s="4">
        <v>183.68180000000001</v>
      </c>
      <c r="Y81" s="4">
        <v>10998.280500000001</v>
      </c>
      <c r="Z81" s="4">
        <v>14178.176600000001</v>
      </c>
      <c r="AA81" s="4">
        <v>3703.9122000000002</v>
      </c>
      <c r="AB81" s="4">
        <v>10474.2644</v>
      </c>
      <c r="AC81" s="4">
        <v>137920.80309999999</v>
      </c>
      <c r="AD81" s="4">
        <v>137920.80309999999</v>
      </c>
      <c r="AE81" s="4">
        <v>0</v>
      </c>
      <c r="AF81" s="4">
        <v>0</v>
      </c>
      <c r="AG81" s="4">
        <v>55788.388200000001</v>
      </c>
    </row>
    <row r="82" spans="1:33" x14ac:dyDescent="0.2">
      <c r="A82" s="3">
        <v>44713</v>
      </c>
      <c r="B82" s="4">
        <v>228889.17189999999</v>
      </c>
      <c r="C82" s="4">
        <v>8349.9778000000006</v>
      </c>
      <c r="D82" s="4">
        <v>5407.8684999999996</v>
      </c>
      <c r="E82" s="4">
        <v>2942.1093000000001</v>
      </c>
      <c r="F82" s="5">
        <v>853.97040000000004</v>
      </c>
      <c r="G82" s="4">
        <v>337.59379999999999</v>
      </c>
      <c r="H82" s="4">
        <v>516.37660000000005</v>
      </c>
      <c r="I82" s="4">
        <v>955.93619999999999</v>
      </c>
      <c r="J82" s="5">
        <v>6984.9054999999998</v>
      </c>
      <c r="K82" s="4">
        <v>1019.8364</v>
      </c>
      <c r="L82" s="4">
        <v>5965.0690999999997</v>
      </c>
      <c r="M82" s="4">
        <v>148326.2064</v>
      </c>
      <c r="N82" s="4">
        <v>145068.74400000001</v>
      </c>
      <c r="O82" s="4">
        <v>1687.9443000000001</v>
      </c>
      <c r="P82" s="4">
        <v>1569.5181</v>
      </c>
      <c r="Q82" s="4">
        <v>1429.5456999999999</v>
      </c>
      <c r="R82" s="4">
        <v>61988.629800000002</v>
      </c>
      <c r="S82" s="4">
        <v>2001.4588000000001</v>
      </c>
      <c r="T82" s="4">
        <v>226887.7132</v>
      </c>
      <c r="U82" s="4">
        <v>0</v>
      </c>
      <c r="V82" s="4">
        <v>0</v>
      </c>
      <c r="W82" s="4">
        <v>11471.057500000001</v>
      </c>
      <c r="X82" s="4">
        <v>353.00659999999999</v>
      </c>
      <c r="Y82" s="4">
        <v>11118.050800000001</v>
      </c>
      <c r="Z82" s="4">
        <v>15271.186600000001</v>
      </c>
      <c r="AA82" s="4">
        <v>3966.9922999999999</v>
      </c>
      <c r="AB82" s="4">
        <v>11304.194299999999</v>
      </c>
      <c r="AC82" s="4">
        <v>143354.946</v>
      </c>
      <c r="AD82" s="4">
        <v>143354.946</v>
      </c>
      <c r="AE82" s="4">
        <v>0</v>
      </c>
      <c r="AF82" s="4">
        <v>0</v>
      </c>
      <c r="AG82" s="4">
        <v>56790.523099999999</v>
      </c>
    </row>
    <row r="83" spans="1:33" x14ac:dyDescent="0.2">
      <c r="A83" s="3">
        <v>44805</v>
      </c>
      <c r="B83" s="4">
        <v>235885.4938</v>
      </c>
      <c r="C83" s="4">
        <v>7775.7659999999996</v>
      </c>
      <c r="D83" s="4">
        <v>4649.1243000000004</v>
      </c>
      <c r="E83" s="4">
        <v>3126.6417000000001</v>
      </c>
      <c r="F83" s="5">
        <v>889.83029999999997</v>
      </c>
      <c r="G83" s="4">
        <v>251.10939999999999</v>
      </c>
      <c r="H83" s="4">
        <v>638.72090000000003</v>
      </c>
      <c r="I83" s="4">
        <v>1021.2406</v>
      </c>
      <c r="J83" s="5">
        <v>7264.3819999999996</v>
      </c>
      <c r="K83" s="4">
        <v>1055.2453</v>
      </c>
      <c r="L83" s="4">
        <v>6209.1365999999998</v>
      </c>
      <c r="M83" s="4">
        <v>154498.9258</v>
      </c>
      <c r="N83" s="4">
        <v>150823.5753</v>
      </c>
      <c r="O83" s="4">
        <v>1933.6647</v>
      </c>
      <c r="P83" s="4">
        <v>1741.6858</v>
      </c>
      <c r="Q83" s="4">
        <v>1414.1781000000001</v>
      </c>
      <c r="R83" s="4">
        <v>63021.170899999997</v>
      </c>
      <c r="S83" s="4">
        <v>1215.1293000000001</v>
      </c>
      <c r="T83" s="4">
        <v>234670.3645</v>
      </c>
      <c r="U83" s="4">
        <v>0</v>
      </c>
      <c r="V83" s="4">
        <v>0</v>
      </c>
      <c r="W83" s="4">
        <v>11329.7055</v>
      </c>
      <c r="X83" s="4">
        <v>290.07060000000001</v>
      </c>
      <c r="Y83" s="4">
        <v>11039.634899999999</v>
      </c>
      <c r="Z83" s="4">
        <v>16243.4139</v>
      </c>
      <c r="AA83" s="4">
        <v>4022.0095000000001</v>
      </c>
      <c r="AB83" s="4">
        <v>12221.404399999999</v>
      </c>
      <c r="AC83" s="4">
        <v>149269.21840000001</v>
      </c>
      <c r="AD83" s="4">
        <v>149269.21840000001</v>
      </c>
      <c r="AE83" s="4">
        <v>0</v>
      </c>
      <c r="AF83" s="4">
        <v>0</v>
      </c>
      <c r="AG83" s="4">
        <v>57828.026700000002</v>
      </c>
    </row>
    <row r="84" spans="1:33" x14ac:dyDescent="0.2">
      <c r="A84" s="3">
        <v>44896</v>
      </c>
      <c r="B84" s="4">
        <v>238667.98680000001</v>
      </c>
      <c r="C84" s="4">
        <v>7854.6810999999998</v>
      </c>
      <c r="D84" s="4">
        <v>4909.6396000000004</v>
      </c>
      <c r="E84" s="4">
        <v>2945.0416</v>
      </c>
      <c r="F84" s="5">
        <v>925.44600000000003</v>
      </c>
      <c r="G84" s="4">
        <v>181.66069999999999</v>
      </c>
      <c r="H84" s="4">
        <v>743.78530000000001</v>
      </c>
      <c r="I84" s="4">
        <v>981.00310000000002</v>
      </c>
      <c r="J84" s="5">
        <v>7668.8413</v>
      </c>
      <c r="K84" s="4">
        <v>1097.9688000000001</v>
      </c>
      <c r="L84" s="4">
        <v>6570.8725999999997</v>
      </c>
      <c r="M84" s="4">
        <v>154835.1551</v>
      </c>
      <c r="N84" s="4">
        <v>151049.8248</v>
      </c>
      <c r="O84" s="4">
        <v>2022.3462999999999</v>
      </c>
      <c r="P84" s="4">
        <v>1762.9838999999999</v>
      </c>
      <c r="Q84" s="4">
        <v>1491.3701000000001</v>
      </c>
      <c r="R84" s="4">
        <v>64911.490100000003</v>
      </c>
      <c r="S84" s="4">
        <v>-1055.9675</v>
      </c>
      <c r="T84" s="4">
        <v>239723.95430000001</v>
      </c>
      <c r="U84" s="4">
        <v>0</v>
      </c>
      <c r="V84" s="4">
        <v>0</v>
      </c>
      <c r="W84" s="4">
        <v>11662.6909</v>
      </c>
      <c r="X84" s="4">
        <v>393.64030000000002</v>
      </c>
      <c r="Y84" s="4">
        <v>11269.0506</v>
      </c>
      <c r="Z84" s="4">
        <v>16270.398300000001</v>
      </c>
      <c r="AA84" s="4">
        <v>4171.1531000000004</v>
      </c>
      <c r="AB84" s="4">
        <v>12099.245199999999</v>
      </c>
      <c r="AC84" s="4">
        <v>150471.22010000001</v>
      </c>
      <c r="AD84" s="4">
        <v>150471.22010000001</v>
      </c>
      <c r="AE84" s="4">
        <v>0</v>
      </c>
      <c r="AF84" s="4">
        <v>0</v>
      </c>
      <c r="AG84" s="4">
        <v>61319.644999999997</v>
      </c>
    </row>
    <row r="85" spans="1:33" x14ac:dyDescent="0.2">
      <c r="A85" s="3">
        <v>44986</v>
      </c>
      <c r="B85" s="4">
        <v>230015.16589999999</v>
      </c>
      <c r="C85" s="4">
        <v>7760.0586000000003</v>
      </c>
      <c r="D85" s="4">
        <v>4146.3582999999999</v>
      </c>
      <c r="E85" s="4">
        <v>3613.7003</v>
      </c>
      <c r="F85" s="5">
        <v>870.4923</v>
      </c>
      <c r="G85" s="4">
        <v>275.82600000000002</v>
      </c>
      <c r="H85" s="4">
        <v>594.66629999999998</v>
      </c>
      <c r="I85" s="4">
        <v>1070.1318000000001</v>
      </c>
      <c r="J85" s="5">
        <v>7749.3535000000002</v>
      </c>
      <c r="K85" s="4">
        <v>1136.24</v>
      </c>
      <c r="L85" s="4">
        <v>6613.1135000000004</v>
      </c>
      <c r="M85" s="4">
        <v>147728.0992</v>
      </c>
      <c r="N85" s="4">
        <v>143890.06219999999</v>
      </c>
      <c r="O85" s="4">
        <v>2123.7224000000001</v>
      </c>
      <c r="P85" s="4">
        <v>1714.3145999999999</v>
      </c>
      <c r="Q85" s="4">
        <v>1488.2969000000001</v>
      </c>
      <c r="R85" s="4">
        <v>63348.7336</v>
      </c>
      <c r="S85" s="4">
        <v>-3162.8474000000001</v>
      </c>
      <c r="T85" s="4">
        <v>233178.0134</v>
      </c>
      <c r="U85" s="4">
        <v>0</v>
      </c>
      <c r="V85" s="4">
        <v>0</v>
      </c>
      <c r="W85" s="4">
        <v>11369.1451</v>
      </c>
      <c r="X85" s="4">
        <v>411.05889999999999</v>
      </c>
      <c r="Y85" s="4">
        <v>10958.086300000001</v>
      </c>
      <c r="Z85" s="4">
        <v>16226.704900000001</v>
      </c>
      <c r="AA85" s="4">
        <v>3980.0178000000001</v>
      </c>
      <c r="AB85" s="4">
        <v>12246.687099999999</v>
      </c>
      <c r="AC85" s="4">
        <v>145603.23139999999</v>
      </c>
      <c r="AD85" s="4">
        <v>145603.23139999999</v>
      </c>
      <c r="AE85" s="4">
        <v>0</v>
      </c>
      <c r="AF85" s="4">
        <v>0</v>
      </c>
      <c r="AG85" s="4">
        <v>59978.932000000001</v>
      </c>
    </row>
    <row r="86" spans="1:33" x14ac:dyDescent="0.2">
      <c r="A86" s="3">
        <v>45078</v>
      </c>
      <c r="B86" s="4">
        <v>231273.93919999999</v>
      </c>
      <c r="C86" s="4">
        <v>7382.4580999999998</v>
      </c>
      <c r="D86" s="4">
        <v>4390.1630999999998</v>
      </c>
      <c r="E86" s="4">
        <v>2992.2950000000001</v>
      </c>
      <c r="F86" s="5">
        <v>835.43619999999999</v>
      </c>
      <c r="G86" s="4">
        <v>177.8374</v>
      </c>
      <c r="H86" s="4">
        <v>657.59879999999998</v>
      </c>
      <c r="I86" s="4">
        <v>987.24109999999996</v>
      </c>
      <c r="J86" s="5">
        <v>7763.2592000000004</v>
      </c>
      <c r="K86" s="4">
        <v>1162.5028</v>
      </c>
      <c r="L86" s="4">
        <v>6600.7564000000002</v>
      </c>
      <c r="M86" s="4">
        <v>149001.96350000001</v>
      </c>
      <c r="N86" s="4">
        <v>145279.10329999999</v>
      </c>
      <c r="O86" s="4">
        <v>1983.1703</v>
      </c>
      <c r="P86" s="4">
        <v>1739.6899000000001</v>
      </c>
      <c r="Q86" s="4">
        <v>1516.1703</v>
      </c>
      <c r="R86" s="4">
        <v>63787.4107</v>
      </c>
      <c r="S86" s="4">
        <v>-2871.0399000000002</v>
      </c>
      <c r="T86" s="4">
        <v>234144.9791</v>
      </c>
      <c r="U86" s="4">
        <v>0</v>
      </c>
      <c r="V86" s="4">
        <v>0</v>
      </c>
      <c r="W86" s="4">
        <v>11619.448</v>
      </c>
      <c r="X86" s="4">
        <v>436.8476</v>
      </c>
      <c r="Y86" s="4">
        <v>11182.6003</v>
      </c>
      <c r="Z86" s="4">
        <v>15619.2004</v>
      </c>
      <c r="AA86" s="4">
        <v>3653.3377999999998</v>
      </c>
      <c r="AB86" s="4">
        <v>11965.8626</v>
      </c>
      <c r="AC86" s="4">
        <v>147371.77280000001</v>
      </c>
      <c r="AD86" s="4">
        <v>147371.77280000001</v>
      </c>
      <c r="AE86" s="4">
        <v>0</v>
      </c>
      <c r="AF86" s="4">
        <v>0</v>
      </c>
      <c r="AG86" s="4">
        <v>59534.5579</v>
      </c>
    </row>
    <row r="87" spans="1:33" x14ac:dyDescent="0.2">
      <c r="A87" s="3">
        <v>45170</v>
      </c>
      <c r="B87" s="4">
        <v>242215.4271</v>
      </c>
      <c r="C87" s="4">
        <v>8136.9934000000003</v>
      </c>
      <c r="D87" s="4">
        <v>4690.3062</v>
      </c>
      <c r="E87" s="4">
        <v>3446.6871999999998</v>
      </c>
      <c r="F87" s="5">
        <v>923.18550000000005</v>
      </c>
      <c r="G87" s="4">
        <v>179.9229</v>
      </c>
      <c r="H87" s="4">
        <v>743.26250000000005</v>
      </c>
      <c r="I87" s="4">
        <v>1030.2228</v>
      </c>
      <c r="J87" s="5">
        <v>7829.8014000000003</v>
      </c>
      <c r="K87" s="4">
        <v>1192.2392</v>
      </c>
      <c r="L87" s="4">
        <v>6637.5622999999996</v>
      </c>
      <c r="M87" s="4">
        <v>156202.72719999999</v>
      </c>
      <c r="N87" s="4">
        <v>152091.2482</v>
      </c>
      <c r="O87" s="4">
        <v>2216.2316999999998</v>
      </c>
      <c r="P87" s="4">
        <v>1895.2473</v>
      </c>
      <c r="Q87" s="4">
        <v>1524.6451999999999</v>
      </c>
      <c r="R87" s="4">
        <v>66567.851599999995</v>
      </c>
      <c r="S87" s="4">
        <v>-2001.0845999999999</v>
      </c>
      <c r="T87" s="4">
        <v>244216.5117</v>
      </c>
      <c r="U87" s="4">
        <v>0</v>
      </c>
      <c r="V87" s="4">
        <v>0</v>
      </c>
      <c r="W87" s="4">
        <v>11547.7997</v>
      </c>
      <c r="X87" s="4">
        <v>404.51490000000001</v>
      </c>
      <c r="Y87" s="4">
        <v>11143.284799999999</v>
      </c>
      <c r="Z87" s="4">
        <v>16038.135399999999</v>
      </c>
      <c r="AA87" s="4">
        <v>3985.4425000000001</v>
      </c>
      <c r="AB87" s="4">
        <v>12052.6929</v>
      </c>
      <c r="AC87" s="4">
        <v>154251.15049999999</v>
      </c>
      <c r="AD87" s="4">
        <v>154251.15049999999</v>
      </c>
      <c r="AE87" s="4">
        <v>0</v>
      </c>
      <c r="AF87" s="4">
        <v>0</v>
      </c>
      <c r="AG87" s="4">
        <v>62379.426200000002</v>
      </c>
    </row>
    <row r="88" spans="1:33" x14ac:dyDescent="0.2">
      <c r="A88" s="3">
        <v>45261</v>
      </c>
      <c r="B88" s="4">
        <v>247778.2359</v>
      </c>
      <c r="C88" s="4">
        <v>8322.8855000000003</v>
      </c>
      <c r="D88" s="4">
        <v>4947.8146999999999</v>
      </c>
      <c r="E88" s="4">
        <v>3375.0708</v>
      </c>
      <c r="F88" s="5">
        <v>999.14409999999998</v>
      </c>
      <c r="G88" s="4">
        <v>162.21729999999999</v>
      </c>
      <c r="H88" s="4">
        <v>836.92679999999996</v>
      </c>
      <c r="I88" s="4">
        <v>952.92690000000005</v>
      </c>
      <c r="J88" s="5">
        <v>8122.6432000000004</v>
      </c>
      <c r="K88" s="4">
        <v>1228.0817999999999</v>
      </c>
      <c r="L88" s="4">
        <v>6894.5613000000003</v>
      </c>
      <c r="M88" s="4">
        <v>160025.53700000001</v>
      </c>
      <c r="N88" s="4">
        <v>156024.85079999999</v>
      </c>
      <c r="O88" s="4">
        <v>2196.4555999999998</v>
      </c>
      <c r="P88" s="4">
        <v>1804.2306000000001</v>
      </c>
      <c r="Q88" s="4">
        <v>1641.675</v>
      </c>
      <c r="R88" s="4">
        <v>67713.424299999999</v>
      </c>
      <c r="S88" s="4">
        <v>-3068.6819</v>
      </c>
      <c r="T88" s="4">
        <v>250846.9178</v>
      </c>
      <c r="U88" s="4">
        <v>0</v>
      </c>
      <c r="V88" s="4">
        <v>0</v>
      </c>
      <c r="W88" s="4">
        <v>11930.672500000001</v>
      </c>
      <c r="X88" s="4">
        <v>477.40710000000001</v>
      </c>
      <c r="Y88" s="4">
        <v>11453.2654</v>
      </c>
      <c r="Z88" s="4">
        <v>17143.413700000001</v>
      </c>
      <c r="AA88" s="4">
        <v>4185.5295999999998</v>
      </c>
      <c r="AB88" s="4">
        <v>12957.884099999999</v>
      </c>
      <c r="AC88" s="4">
        <v>158074.2433</v>
      </c>
      <c r="AD88" s="4">
        <v>158074.2433</v>
      </c>
      <c r="AE88" s="4">
        <v>0</v>
      </c>
      <c r="AF88" s="4">
        <v>0</v>
      </c>
      <c r="AG88" s="4">
        <v>63698.588400000001</v>
      </c>
    </row>
    <row r="89" spans="1:33" x14ac:dyDescent="0.2">
      <c r="A89" s="3">
        <v>45352</v>
      </c>
      <c r="B89" s="4">
        <v>254333.83840000001</v>
      </c>
      <c r="C89" s="4">
        <v>9076.0910000000003</v>
      </c>
      <c r="D89" s="4">
        <v>5226.4906000000001</v>
      </c>
      <c r="E89" s="4">
        <v>3849.6005</v>
      </c>
      <c r="F89" s="5">
        <v>1098.8442</v>
      </c>
      <c r="G89" s="4">
        <v>107.2148</v>
      </c>
      <c r="H89" s="4">
        <v>991.62940000000003</v>
      </c>
      <c r="I89" s="4">
        <v>994.31970000000001</v>
      </c>
      <c r="J89" s="5">
        <v>8213.3258000000005</v>
      </c>
      <c r="K89" s="4">
        <v>1272.4057</v>
      </c>
      <c r="L89" s="4">
        <v>6940.9201000000003</v>
      </c>
      <c r="M89" s="4">
        <v>162400.27009999999</v>
      </c>
      <c r="N89" s="4">
        <v>158015.76449999999</v>
      </c>
      <c r="O89" s="4">
        <v>2411.1390000000001</v>
      </c>
      <c r="P89" s="4">
        <v>1973.3666000000001</v>
      </c>
      <c r="Q89" s="4">
        <v>1739.3933</v>
      </c>
      <c r="R89" s="4">
        <v>70811.594299999997</v>
      </c>
      <c r="S89" s="4">
        <v>-2390.4883</v>
      </c>
      <c r="T89" s="4">
        <v>256724.32670000001</v>
      </c>
      <c r="U89" s="4">
        <v>0</v>
      </c>
      <c r="V89" s="4">
        <v>0</v>
      </c>
      <c r="W89" s="4">
        <v>12231.9961</v>
      </c>
      <c r="X89" s="4">
        <v>508.72390000000001</v>
      </c>
      <c r="Y89" s="4">
        <v>11723.2721</v>
      </c>
      <c r="Z89" s="4">
        <v>18409.181799999998</v>
      </c>
      <c r="AA89" s="4">
        <v>4275.2039999999997</v>
      </c>
      <c r="AB89" s="4">
        <v>14133.977800000001</v>
      </c>
      <c r="AC89" s="4">
        <v>160247.42420000001</v>
      </c>
      <c r="AD89" s="4">
        <v>160247.42420000001</v>
      </c>
      <c r="AE89" s="4">
        <v>0</v>
      </c>
      <c r="AF89" s="4">
        <v>0</v>
      </c>
      <c r="AG89" s="4">
        <v>65835.724700000006</v>
      </c>
    </row>
    <row r="90" spans="1:33" x14ac:dyDescent="0.2">
      <c r="A90" s="3">
        <v>45444</v>
      </c>
      <c r="B90" s="4">
        <v>258567.74650000001</v>
      </c>
      <c r="C90" s="4">
        <v>8557.9989000000005</v>
      </c>
      <c r="D90" s="4">
        <v>5306.8352999999997</v>
      </c>
      <c r="E90" s="4">
        <v>3251.1635000000001</v>
      </c>
      <c r="F90" s="5">
        <v>1174.7317</v>
      </c>
      <c r="G90" s="4">
        <v>162.13900000000001</v>
      </c>
      <c r="H90" s="4">
        <v>1012.5928</v>
      </c>
      <c r="I90" s="4">
        <v>896.87400000000002</v>
      </c>
      <c r="J90" s="5">
        <v>8245.8407000000007</v>
      </c>
      <c r="K90" s="4">
        <v>1297.3062</v>
      </c>
      <c r="L90" s="4">
        <v>6948.5344999999998</v>
      </c>
      <c r="M90" s="4">
        <v>166760.94899999999</v>
      </c>
      <c r="N90" s="4">
        <v>162391.48480000001</v>
      </c>
      <c r="O90" s="4">
        <v>2324.5189999999998</v>
      </c>
      <c r="P90" s="4">
        <v>2044.9452000000001</v>
      </c>
      <c r="Q90" s="4">
        <v>1706.4069</v>
      </c>
      <c r="R90" s="4">
        <v>71224.945399999997</v>
      </c>
      <c r="S90" s="4">
        <v>-4245.0838000000003</v>
      </c>
      <c r="T90" s="4">
        <v>262812.83039999998</v>
      </c>
      <c r="U90" s="4">
        <v>0</v>
      </c>
      <c r="V90" s="4">
        <v>0</v>
      </c>
      <c r="W90" s="4">
        <v>11796.6571</v>
      </c>
      <c r="X90" s="4">
        <v>643.41819999999996</v>
      </c>
      <c r="Y90" s="4">
        <v>11153.2389</v>
      </c>
      <c r="Z90" s="4">
        <v>17291.500899999999</v>
      </c>
      <c r="AA90" s="4">
        <v>3775.7037999999998</v>
      </c>
      <c r="AB90" s="4">
        <v>13515.797</v>
      </c>
      <c r="AC90" s="4">
        <v>166021.11619999999</v>
      </c>
      <c r="AD90" s="4">
        <v>166021.11619999999</v>
      </c>
      <c r="AE90" s="4">
        <v>0</v>
      </c>
      <c r="AF90" s="4">
        <v>0</v>
      </c>
      <c r="AG90" s="4">
        <v>67703.556200000006</v>
      </c>
    </row>
    <row r="91" spans="1:33" x14ac:dyDescent="0.2">
      <c r="A91" s="3">
        <v>45536</v>
      </c>
      <c r="B91" s="4">
        <v>259237.59169999999</v>
      </c>
      <c r="C91" s="4">
        <v>8788.3353999999999</v>
      </c>
      <c r="D91" s="4">
        <v>5490.2272000000003</v>
      </c>
      <c r="E91" s="4">
        <v>3298.1082000000001</v>
      </c>
      <c r="F91" s="5">
        <v>1449.6324</v>
      </c>
      <c r="G91" s="4">
        <v>133.8562</v>
      </c>
      <c r="H91" s="4">
        <v>1315.7762</v>
      </c>
      <c r="I91" s="4">
        <v>847.58839999999998</v>
      </c>
      <c r="J91" s="5">
        <v>8707.1540999999997</v>
      </c>
      <c r="K91" s="4">
        <v>1327.9826</v>
      </c>
      <c r="L91" s="4">
        <v>7379.1715000000004</v>
      </c>
      <c r="M91" s="4">
        <v>166713.10920000001</v>
      </c>
      <c r="N91" s="4">
        <v>161897.7678</v>
      </c>
      <c r="O91" s="4">
        <v>2698.9694</v>
      </c>
      <c r="P91" s="4">
        <v>2116.3719999999998</v>
      </c>
      <c r="Q91" s="4">
        <v>1845.0534</v>
      </c>
      <c r="R91" s="4">
        <v>70886.718900000007</v>
      </c>
      <c r="S91" s="4">
        <v>-4179.1804000000002</v>
      </c>
      <c r="T91" s="4">
        <v>263416.7721</v>
      </c>
      <c r="U91" s="4">
        <v>0</v>
      </c>
      <c r="V91" s="4">
        <v>0</v>
      </c>
      <c r="W91" s="4">
        <v>12286.8033</v>
      </c>
      <c r="X91" s="4">
        <v>802.23839999999996</v>
      </c>
      <c r="Y91" s="4">
        <v>11484.564899999999</v>
      </c>
      <c r="Z91" s="4">
        <v>17605.455399999999</v>
      </c>
      <c r="AA91" s="4">
        <v>3952.2865000000002</v>
      </c>
      <c r="AB91" s="4">
        <v>13653.168900000001</v>
      </c>
      <c r="AC91" s="4">
        <v>165055.28080000001</v>
      </c>
      <c r="AD91" s="4">
        <v>165055.28080000001</v>
      </c>
      <c r="AE91" s="4">
        <v>0</v>
      </c>
      <c r="AF91" s="4">
        <v>0</v>
      </c>
      <c r="AG91" s="4">
        <v>68469.232600000003</v>
      </c>
    </row>
    <row r="92" spans="1:33" x14ac:dyDescent="0.2">
      <c r="A92" s="3">
        <v>45627</v>
      </c>
      <c r="B92" s="4">
        <v>264145.2255</v>
      </c>
      <c r="C92" s="4">
        <v>8604.5843999999997</v>
      </c>
      <c r="D92" s="4">
        <v>5090.7563</v>
      </c>
      <c r="E92" s="4">
        <v>3513.8281000000002</v>
      </c>
      <c r="F92" s="5">
        <v>1525.4505999999999</v>
      </c>
      <c r="G92" s="4">
        <v>67.643299999999996</v>
      </c>
      <c r="H92" s="4">
        <v>1457.8072999999999</v>
      </c>
      <c r="I92" s="4">
        <v>901.36069999999995</v>
      </c>
      <c r="J92" s="5">
        <v>9099.3052000000007</v>
      </c>
      <c r="K92" s="4">
        <v>1370.5386000000001</v>
      </c>
      <c r="L92" s="4">
        <v>7728.7665999999999</v>
      </c>
      <c r="M92" s="4">
        <v>170706.33739999999</v>
      </c>
      <c r="N92" s="4">
        <v>165725.78200000001</v>
      </c>
      <c r="O92" s="4">
        <v>2748.1680000000001</v>
      </c>
      <c r="P92" s="4">
        <v>2232.3874000000001</v>
      </c>
      <c r="Q92" s="4">
        <v>1821.1862000000001</v>
      </c>
      <c r="R92" s="4">
        <v>71487.001099999994</v>
      </c>
      <c r="S92" s="4">
        <v>-2623.1734999999999</v>
      </c>
      <c r="T92" s="4">
        <v>266768.39899999998</v>
      </c>
      <c r="U92" s="4">
        <v>0</v>
      </c>
      <c r="V92" s="4">
        <v>0</v>
      </c>
      <c r="W92" s="4">
        <v>12552.859700000001</v>
      </c>
      <c r="X92" s="4">
        <v>1015.6494</v>
      </c>
      <c r="Y92" s="4">
        <v>11537.2102</v>
      </c>
      <c r="Z92" s="4">
        <v>18150.276699999999</v>
      </c>
      <c r="AA92" s="4">
        <v>4198.7025999999996</v>
      </c>
      <c r="AB92" s="4">
        <v>13951.574000000001</v>
      </c>
      <c r="AC92" s="4">
        <v>167354.0197</v>
      </c>
      <c r="AD92" s="4">
        <v>167354.0197</v>
      </c>
      <c r="AE92" s="4">
        <v>0</v>
      </c>
      <c r="AF92" s="4">
        <v>0</v>
      </c>
      <c r="AG92" s="4">
        <v>68711.243000000002</v>
      </c>
    </row>
    <row r="93" spans="1:33" x14ac:dyDescent="0.2">
      <c r="A93" s="3">
        <v>45717</v>
      </c>
      <c r="B93" s="4">
        <v>267854.076</v>
      </c>
      <c r="C93" s="4">
        <v>9641.4163000000008</v>
      </c>
      <c r="D93" s="4">
        <v>6179.6709000000001</v>
      </c>
      <c r="E93" s="4">
        <v>3461.7453</v>
      </c>
      <c r="F93" s="5">
        <v>1116.4725000000001</v>
      </c>
      <c r="G93" s="4">
        <v>98.269099999999995</v>
      </c>
      <c r="H93" s="4">
        <v>1018.2034</v>
      </c>
      <c r="I93" s="4">
        <v>1000.9690000000001</v>
      </c>
      <c r="J93" s="5">
        <v>9735.2307000000001</v>
      </c>
      <c r="K93" s="4">
        <v>1461.8938000000001</v>
      </c>
      <c r="L93" s="4">
        <v>8273.3369000000002</v>
      </c>
      <c r="M93" s="4">
        <v>170939.30590000001</v>
      </c>
      <c r="N93" s="4">
        <v>165780.6103</v>
      </c>
      <c r="O93" s="4">
        <v>2880.6873999999998</v>
      </c>
      <c r="P93" s="4">
        <v>2278.0082000000002</v>
      </c>
      <c r="Q93" s="4">
        <v>1861.6452999999999</v>
      </c>
      <c r="R93" s="4">
        <v>73559.036300000007</v>
      </c>
      <c r="S93" s="4">
        <v>-2083.9702000000002</v>
      </c>
      <c r="T93" s="4">
        <v>269938.04619999998</v>
      </c>
      <c r="U93" s="4">
        <v>0</v>
      </c>
      <c r="V93" s="4">
        <v>0</v>
      </c>
      <c r="W93" s="4">
        <v>13248.885399999999</v>
      </c>
      <c r="X93" s="4">
        <v>892.95799999999997</v>
      </c>
      <c r="Y93" s="4">
        <v>12355.9274</v>
      </c>
      <c r="Z93" s="4">
        <v>17777.506799999999</v>
      </c>
      <c r="AA93" s="4">
        <v>4741.6216000000004</v>
      </c>
      <c r="AB93" s="4">
        <v>13035.8853</v>
      </c>
      <c r="AC93" s="4">
        <v>167989.3334</v>
      </c>
      <c r="AD93" s="4">
        <v>167989.3334</v>
      </c>
      <c r="AE93" s="4">
        <v>0</v>
      </c>
      <c r="AF93" s="4">
        <v>0</v>
      </c>
      <c r="AG93" s="4">
        <v>70922.320600000006</v>
      </c>
    </row>
    <row r="94" spans="1:33" x14ac:dyDescent="0.2">
      <c r="A94" s="3">
        <v>45809</v>
      </c>
      <c r="B94" s="4">
        <v>272894.8786</v>
      </c>
      <c r="C94" s="4">
        <v>9620.8305</v>
      </c>
      <c r="D94" s="4">
        <v>6336.9975000000004</v>
      </c>
      <c r="E94" s="4">
        <v>3283.8330999999998</v>
      </c>
      <c r="F94" s="5">
        <v>1280.9206999999999</v>
      </c>
      <c r="G94" s="4">
        <v>123.35809999999999</v>
      </c>
      <c r="H94" s="4">
        <v>1157.5626</v>
      </c>
      <c r="I94" s="4">
        <v>909.06579999999997</v>
      </c>
      <c r="J94" s="5">
        <v>9906.5355999999992</v>
      </c>
      <c r="K94" s="4">
        <v>1452.0454</v>
      </c>
      <c r="L94" s="4">
        <v>8454.4902999999995</v>
      </c>
      <c r="M94" s="4">
        <v>175228.38579999999</v>
      </c>
      <c r="N94" s="4">
        <v>170027.2126</v>
      </c>
      <c r="O94" s="4">
        <v>2809.3706000000002</v>
      </c>
      <c r="P94" s="4">
        <v>2391.8026</v>
      </c>
      <c r="Q94" s="4">
        <v>1958.6387999999999</v>
      </c>
      <c r="R94" s="4">
        <v>73990.501499999998</v>
      </c>
      <c r="S94" s="4">
        <v>-1694.1206</v>
      </c>
      <c r="T94" s="4">
        <v>274588.99930000002</v>
      </c>
      <c r="U94" s="4">
        <v>0</v>
      </c>
      <c r="V94" s="4">
        <v>0</v>
      </c>
      <c r="W94" s="4">
        <v>13060.118399999999</v>
      </c>
      <c r="X94" s="4">
        <v>1184.6858999999999</v>
      </c>
      <c r="Y94" s="4">
        <v>11875.432500000001</v>
      </c>
      <c r="Z94" s="4">
        <v>17871.6145</v>
      </c>
      <c r="AA94" s="4">
        <v>4548.3705</v>
      </c>
      <c r="AB94" s="4">
        <v>13323.244000000001</v>
      </c>
      <c r="AC94" s="4">
        <v>171833.03320000001</v>
      </c>
      <c r="AD94" s="4">
        <v>171833.03320000001</v>
      </c>
      <c r="AE94" s="4">
        <v>0</v>
      </c>
      <c r="AF94" s="4">
        <v>0</v>
      </c>
      <c r="AG94" s="4">
        <v>71824.233300000007</v>
      </c>
    </row>
    <row r="95" spans="1:33" x14ac:dyDescent="0.2">
      <c r="A95" s="3">
        <v>45901</v>
      </c>
      <c r="B95" s="4">
        <v>282235.36930000002</v>
      </c>
      <c r="C95" s="4">
        <v>9924.6908999999996</v>
      </c>
      <c r="D95" s="4">
        <v>6460.0441000000001</v>
      </c>
      <c r="E95" s="4">
        <v>3464.6468</v>
      </c>
      <c r="F95" s="5">
        <v>1183.7128</v>
      </c>
      <c r="G95" s="4">
        <v>81.307900000000004</v>
      </c>
      <c r="H95" s="4">
        <v>1102.4049</v>
      </c>
      <c r="I95" s="4">
        <v>954.72609999999997</v>
      </c>
      <c r="J95" s="5">
        <v>10350.4689</v>
      </c>
      <c r="K95" s="4">
        <v>1629.7996000000001</v>
      </c>
      <c r="L95" s="4">
        <v>8720.6694000000007</v>
      </c>
      <c r="M95" s="4">
        <v>181615.8481</v>
      </c>
      <c r="N95" s="4">
        <v>175902.13089999999</v>
      </c>
      <c r="O95" s="4">
        <v>3248.2637</v>
      </c>
      <c r="P95" s="4">
        <v>2465.4535000000001</v>
      </c>
      <c r="Q95" s="4">
        <v>2104.9279999999999</v>
      </c>
      <c r="R95" s="4">
        <v>76100.994399999996</v>
      </c>
      <c r="S95" s="4">
        <v>-892.90089999999998</v>
      </c>
      <c r="T95" s="4">
        <v>283128.27020000003</v>
      </c>
      <c r="U95" s="4">
        <v>0</v>
      </c>
      <c r="V95" s="4">
        <v>0</v>
      </c>
      <c r="W95" s="4">
        <v>14471.9197</v>
      </c>
      <c r="X95" s="4">
        <v>1086.5808</v>
      </c>
      <c r="Y95" s="4">
        <v>13385.338900000001</v>
      </c>
      <c r="Z95" s="4">
        <v>17862.7084</v>
      </c>
      <c r="AA95" s="4">
        <v>5180.5294000000004</v>
      </c>
      <c r="AB95" s="4">
        <v>12682.179</v>
      </c>
      <c r="AC95" s="4">
        <v>177386.98629999999</v>
      </c>
      <c r="AD95" s="4">
        <v>177386.98629999999</v>
      </c>
      <c r="AE95" s="4">
        <v>0</v>
      </c>
      <c r="AF95" s="4">
        <v>0</v>
      </c>
      <c r="AG95" s="4">
        <v>73406.655799999993</v>
      </c>
    </row>
  </sheetData>
  <mergeCells count="2">
    <mergeCell ref="A1:AG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2E9F-C09D-4643-969C-C87D44927313}">
  <sheetPr>
    <tabColor rgb="FFC00000"/>
  </sheetPr>
  <dimension ref="A1:AC95"/>
  <sheetViews>
    <sheetView zoomScale="111" workbookViewId="0">
      <selection activeCell="D2" sqref="D2"/>
    </sheetView>
  </sheetViews>
  <sheetFormatPr baseColWidth="10" defaultRowHeight="16" x14ac:dyDescent="0.2"/>
  <sheetData>
    <row r="1" spans="1:29" x14ac:dyDescent="0.2">
      <c r="A1" s="7" t="s">
        <v>98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</row>
    <row r="2" spans="1:29" x14ac:dyDescent="0.2">
      <c r="A2" s="8" t="s">
        <v>161</v>
      </c>
      <c r="B2" s="8"/>
      <c r="C2" t="s">
        <v>162</v>
      </c>
      <c r="D2" s="1">
        <f>B5-C5-I5-N5-O5</f>
        <v>18182.739799999999</v>
      </c>
      <c r="E2" s="1">
        <f>D5+G5+J5</f>
        <v>18182.739799999999</v>
      </c>
      <c r="F2" t="s">
        <v>163</v>
      </c>
      <c r="G2" s="1">
        <f>Q5-AB5-AC5</f>
        <v>18055.701300000001</v>
      </c>
      <c r="H2" s="1">
        <f>R5+U5+X5</f>
        <v>18055.701300000001</v>
      </c>
    </row>
    <row r="3" spans="1:29" ht="85" x14ac:dyDescent="0.2">
      <c r="A3" s="2" t="s">
        <v>2</v>
      </c>
      <c r="B3" s="2" t="s">
        <v>3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109</v>
      </c>
      <c r="N3" s="2" t="s">
        <v>110</v>
      </c>
      <c r="O3" s="2" t="s">
        <v>20</v>
      </c>
      <c r="P3" s="2" t="s">
        <v>39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50</v>
      </c>
      <c r="V3" s="2" t="s">
        <v>51</v>
      </c>
      <c r="W3" s="2" t="s">
        <v>52</v>
      </c>
      <c r="X3" s="2" t="s">
        <v>29</v>
      </c>
      <c r="Y3" s="2" t="s">
        <v>30</v>
      </c>
      <c r="Z3" s="2" t="s">
        <v>31</v>
      </c>
      <c r="AA3" s="2" t="s">
        <v>32</v>
      </c>
      <c r="AB3" s="2" t="s">
        <v>53</v>
      </c>
      <c r="AC3" s="2" t="s">
        <v>35</v>
      </c>
    </row>
    <row r="4" spans="1:29" x14ac:dyDescent="0.2">
      <c r="A4" s="3">
        <v>37591</v>
      </c>
      <c r="B4" s="4">
        <v>17741.0792</v>
      </c>
      <c r="C4" s="4">
        <v>27.630400000000002</v>
      </c>
      <c r="D4" s="4">
        <v>5716.8495000000003</v>
      </c>
      <c r="E4" s="4">
        <v>12.937099999999999</v>
      </c>
      <c r="F4" s="4">
        <v>5703.9124000000002</v>
      </c>
      <c r="G4" s="5">
        <v>5185.4853000000003</v>
      </c>
      <c r="H4" s="4">
        <v>5185.4853000000003</v>
      </c>
      <c r="I4" s="4">
        <v>0</v>
      </c>
      <c r="J4" s="5">
        <v>6295.7338</v>
      </c>
      <c r="K4" s="4">
        <v>215.0367</v>
      </c>
      <c r="L4" s="4">
        <v>6080.6971000000003</v>
      </c>
      <c r="M4" s="4">
        <v>131.25659999999999</v>
      </c>
      <c r="N4" s="4">
        <v>131.25659999999999</v>
      </c>
      <c r="O4" s="4">
        <v>384.12369999999999</v>
      </c>
      <c r="P4" s="4">
        <v>-307.49470000000002</v>
      </c>
      <c r="Q4" s="4">
        <v>18048.573899999999</v>
      </c>
      <c r="R4" s="4">
        <v>2837.8319000000001</v>
      </c>
      <c r="S4" s="4">
        <v>2484.4162000000001</v>
      </c>
      <c r="T4" s="4">
        <v>353.41559999999998</v>
      </c>
      <c r="U4" s="4">
        <v>14155.4583</v>
      </c>
      <c r="V4" s="4">
        <v>2943.3261000000002</v>
      </c>
      <c r="W4" s="4">
        <v>11212.1322</v>
      </c>
      <c r="X4" s="4">
        <v>162.5848</v>
      </c>
      <c r="Y4" s="4">
        <v>8.0836000000000006</v>
      </c>
      <c r="Z4" s="4">
        <v>154.50120000000001</v>
      </c>
      <c r="AA4" s="4">
        <v>877.0163</v>
      </c>
      <c r="AB4" s="4">
        <v>877.0163</v>
      </c>
      <c r="AC4" s="4">
        <v>15.682700000000001</v>
      </c>
    </row>
    <row r="5" spans="1:29" x14ac:dyDescent="0.2">
      <c r="A5" s="3">
        <v>37681</v>
      </c>
      <c r="B5" s="4">
        <v>18732.381600000001</v>
      </c>
      <c r="C5" s="4">
        <v>29.743200000000002</v>
      </c>
      <c r="D5" s="4">
        <v>6570.5338000000002</v>
      </c>
      <c r="E5" s="4">
        <v>275.7792</v>
      </c>
      <c r="F5" s="4">
        <v>6294.7546000000002</v>
      </c>
      <c r="G5" s="5">
        <v>5397.0111999999999</v>
      </c>
      <c r="H5" s="4">
        <v>5397.0111999999999</v>
      </c>
      <c r="I5" s="4">
        <v>0</v>
      </c>
      <c r="J5" s="5">
        <v>6215.1948000000002</v>
      </c>
      <c r="K5" s="4">
        <v>14.4125</v>
      </c>
      <c r="L5" s="4">
        <v>6200.7822999999999</v>
      </c>
      <c r="M5" s="4">
        <v>134.01679999999999</v>
      </c>
      <c r="N5" s="4">
        <v>134.01679999999999</v>
      </c>
      <c r="O5" s="4">
        <v>385.8818</v>
      </c>
      <c r="P5" s="4">
        <v>-458.41</v>
      </c>
      <c r="Q5" s="4">
        <v>19190.7916</v>
      </c>
      <c r="R5" s="4">
        <v>3390.7593999999999</v>
      </c>
      <c r="S5" s="4">
        <v>2499.5075000000002</v>
      </c>
      <c r="T5" s="4">
        <v>891.25189999999998</v>
      </c>
      <c r="U5" s="4">
        <v>14500.822200000001</v>
      </c>
      <c r="V5" s="4">
        <v>2766.7538</v>
      </c>
      <c r="W5" s="4">
        <v>11734.0684</v>
      </c>
      <c r="X5" s="4">
        <v>164.11969999999999</v>
      </c>
      <c r="Y5" s="4">
        <v>4.7260999999999997</v>
      </c>
      <c r="Z5" s="4">
        <v>159.39359999999999</v>
      </c>
      <c r="AA5" s="4">
        <v>1125.5087000000001</v>
      </c>
      <c r="AB5" s="4">
        <v>1125.5087000000001</v>
      </c>
      <c r="AC5" s="4">
        <v>9.5815999999999999</v>
      </c>
    </row>
    <row r="6" spans="1:29" x14ac:dyDescent="0.2">
      <c r="A6" s="3">
        <v>37773</v>
      </c>
      <c r="B6" s="4">
        <v>17218.081699999999</v>
      </c>
      <c r="C6" s="4">
        <v>29.912600000000001</v>
      </c>
      <c r="D6" s="4">
        <v>5896.9621999999999</v>
      </c>
      <c r="E6" s="4">
        <v>227.57089999999999</v>
      </c>
      <c r="F6" s="4">
        <v>5669.3912</v>
      </c>
      <c r="G6" s="5">
        <v>4870.0120999999999</v>
      </c>
      <c r="H6" s="4">
        <v>4870.0120999999999</v>
      </c>
      <c r="I6" s="4">
        <v>0</v>
      </c>
      <c r="J6" s="5">
        <v>5904.5796</v>
      </c>
      <c r="K6" s="4">
        <v>92.498999999999995</v>
      </c>
      <c r="L6" s="4">
        <v>5812.0805</v>
      </c>
      <c r="M6" s="4">
        <v>128.46539999999999</v>
      </c>
      <c r="N6" s="4">
        <v>128.46539999999999</v>
      </c>
      <c r="O6" s="4">
        <v>388.14980000000003</v>
      </c>
      <c r="P6" s="4">
        <v>-481.47649999999999</v>
      </c>
      <c r="Q6" s="4">
        <v>17699.558099999998</v>
      </c>
      <c r="R6" s="4">
        <v>2214.8991999999998</v>
      </c>
      <c r="S6" s="4">
        <v>2066.7078999999999</v>
      </c>
      <c r="T6" s="4">
        <v>148.19130000000001</v>
      </c>
      <c r="U6" s="4">
        <v>14559.832200000001</v>
      </c>
      <c r="V6" s="4">
        <v>2716.3310000000001</v>
      </c>
      <c r="W6" s="4">
        <v>11843.501200000001</v>
      </c>
      <c r="X6" s="4">
        <v>158.80799999999999</v>
      </c>
      <c r="Y6" s="4">
        <v>2.6694</v>
      </c>
      <c r="Z6" s="4">
        <v>156.1386</v>
      </c>
      <c r="AA6" s="4">
        <v>757.59230000000002</v>
      </c>
      <c r="AB6" s="4">
        <v>757.59230000000002</v>
      </c>
      <c r="AC6" s="4">
        <v>8.4265000000000008</v>
      </c>
    </row>
    <row r="7" spans="1:29" x14ac:dyDescent="0.2">
      <c r="A7" s="3">
        <v>37865</v>
      </c>
      <c r="B7" s="4">
        <v>16625.209699999999</v>
      </c>
      <c r="C7" s="4">
        <v>29.994499999999999</v>
      </c>
      <c r="D7" s="4">
        <v>5663.7150000000001</v>
      </c>
      <c r="E7" s="4">
        <v>136.73390000000001</v>
      </c>
      <c r="F7" s="4">
        <v>5526.9809999999998</v>
      </c>
      <c r="G7" s="5">
        <v>4717.0353999999998</v>
      </c>
      <c r="H7" s="4">
        <v>4717.0353999999998</v>
      </c>
      <c r="I7" s="4">
        <v>0</v>
      </c>
      <c r="J7" s="5">
        <v>5663.2048999999997</v>
      </c>
      <c r="K7" s="4">
        <v>6.8597999999999999</v>
      </c>
      <c r="L7" s="4">
        <v>5656.3450999999995</v>
      </c>
      <c r="M7" s="4">
        <v>162.54429999999999</v>
      </c>
      <c r="N7" s="4">
        <v>162.54429999999999</v>
      </c>
      <c r="O7" s="4">
        <v>388.71559999999999</v>
      </c>
      <c r="P7" s="4">
        <v>-351.25650000000002</v>
      </c>
      <c r="Q7" s="4">
        <v>16976.466199999999</v>
      </c>
      <c r="R7" s="4">
        <v>2209.1086</v>
      </c>
      <c r="S7" s="4">
        <v>2082.6325000000002</v>
      </c>
      <c r="T7" s="4">
        <v>126.4761</v>
      </c>
      <c r="U7" s="4">
        <v>14316.8922</v>
      </c>
      <c r="V7" s="4">
        <v>2415.3265000000001</v>
      </c>
      <c r="W7" s="4">
        <v>11901.565699999999</v>
      </c>
      <c r="X7" s="4">
        <v>154.61699999999999</v>
      </c>
      <c r="Y7" s="4">
        <v>1.3003</v>
      </c>
      <c r="Z7" s="4">
        <v>153.3167</v>
      </c>
      <c r="AA7" s="4">
        <v>229.1816</v>
      </c>
      <c r="AB7" s="4">
        <v>229.1816</v>
      </c>
      <c r="AC7" s="4">
        <v>66.666799999999995</v>
      </c>
    </row>
    <row r="8" spans="1:29" x14ac:dyDescent="0.2">
      <c r="A8" s="3">
        <v>37956</v>
      </c>
      <c r="B8" s="4">
        <v>15789.8984</v>
      </c>
      <c r="C8" s="4">
        <v>28.975200000000001</v>
      </c>
      <c r="D8" s="4">
        <v>5100.6445999999996</v>
      </c>
      <c r="E8" s="4">
        <v>155.5069</v>
      </c>
      <c r="F8" s="4">
        <v>4945.1377000000002</v>
      </c>
      <c r="G8" s="5">
        <v>4366.1153000000004</v>
      </c>
      <c r="H8" s="4">
        <v>4366.1153000000004</v>
      </c>
      <c r="I8" s="4">
        <v>0</v>
      </c>
      <c r="J8" s="5">
        <v>5758.4677000000001</v>
      </c>
      <c r="K8" s="4">
        <v>650.51649999999995</v>
      </c>
      <c r="L8" s="4">
        <v>5107.9512000000004</v>
      </c>
      <c r="M8" s="4">
        <v>147.76730000000001</v>
      </c>
      <c r="N8" s="4">
        <v>147.76730000000001</v>
      </c>
      <c r="O8" s="4">
        <v>387.9282</v>
      </c>
      <c r="P8" s="4">
        <v>-429.32249999999999</v>
      </c>
      <c r="Q8" s="4">
        <v>16219.2209</v>
      </c>
      <c r="R8" s="4">
        <v>3109.8458999999998</v>
      </c>
      <c r="S8" s="4">
        <v>2998.8562000000002</v>
      </c>
      <c r="T8" s="4">
        <v>110.9897</v>
      </c>
      <c r="U8" s="4">
        <v>13493.491900000001</v>
      </c>
      <c r="V8" s="4">
        <v>2009.6985</v>
      </c>
      <c r="W8" s="4">
        <v>11483.7934</v>
      </c>
      <c r="X8" s="4">
        <v>151.77529999999999</v>
      </c>
      <c r="Y8" s="4">
        <v>5.4546999999999999</v>
      </c>
      <c r="Z8" s="4">
        <v>146.32060000000001</v>
      </c>
      <c r="AA8" s="4">
        <v>-544.75379999999996</v>
      </c>
      <c r="AB8" s="4">
        <v>-544.75379999999996</v>
      </c>
      <c r="AC8" s="4">
        <v>8.8617000000000008</v>
      </c>
    </row>
    <row r="9" spans="1:29" x14ac:dyDescent="0.2">
      <c r="A9" s="3">
        <v>38047</v>
      </c>
      <c r="B9" s="4">
        <v>15741.3796</v>
      </c>
      <c r="C9" s="4">
        <v>31.177</v>
      </c>
      <c r="D9" s="4">
        <v>5045.7334000000001</v>
      </c>
      <c r="E9" s="4">
        <v>2.6032000000000002</v>
      </c>
      <c r="F9" s="4">
        <v>5043.1301999999996</v>
      </c>
      <c r="G9" s="5">
        <v>4867.5843999999997</v>
      </c>
      <c r="H9" s="4">
        <v>4867.5843999999997</v>
      </c>
      <c r="I9" s="4">
        <v>0</v>
      </c>
      <c r="J9" s="5">
        <v>5257.4372999999996</v>
      </c>
      <c r="K9" s="4">
        <v>7.5133999999999999</v>
      </c>
      <c r="L9" s="4">
        <v>5249.9238999999998</v>
      </c>
      <c r="M9" s="4">
        <v>153.6292</v>
      </c>
      <c r="N9" s="4">
        <v>153.6292</v>
      </c>
      <c r="O9" s="4">
        <v>385.81819999999999</v>
      </c>
      <c r="P9" s="4">
        <v>-634.93880000000001</v>
      </c>
      <c r="Q9" s="4">
        <v>16376.3184</v>
      </c>
      <c r="R9" s="4">
        <v>2384.1282999999999</v>
      </c>
      <c r="S9" s="4">
        <v>2241.3200000000002</v>
      </c>
      <c r="T9" s="4">
        <v>142.8083</v>
      </c>
      <c r="U9" s="4">
        <v>14064.018099999999</v>
      </c>
      <c r="V9" s="4">
        <v>2211.1016</v>
      </c>
      <c r="W9" s="4">
        <v>11852.916499999999</v>
      </c>
      <c r="X9" s="4">
        <v>155.2422</v>
      </c>
      <c r="Y9" s="4">
        <v>4.7191000000000001</v>
      </c>
      <c r="Z9" s="4">
        <v>150.5231</v>
      </c>
      <c r="AA9" s="4">
        <v>-234.44470000000001</v>
      </c>
      <c r="AB9" s="4">
        <v>-234.44470000000001</v>
      </c>
      <c r="AC9" s="4">
        <v>7.3745000000000003</v>
      </c>
    </row>
    <row r="10" spans="1:29" x14ac:dyDescent="0.2">
      <c r="A10" s="3">
        <v>38139</v>
      </c>
      <c r="B10" s="4">
        <v>16120.749599999999</v>
      </c>
      <c r="C10" s="4">
        <v>32.203400000000002</v>
      </c>
      <c r="D10" s="4">
        <v>5063.3284999999996</v>
      </c>
      <c r="E10" s="4">
        <v>68.836399999999998</v>
      </c>
      <c r="F10" s="4">
        <v>4994.4921999999997</v>
      </c>
      <c r="G10" s="5">
        <v>4992.9382999999998</v>
      </c>
      <c r="H10" s="4">
        <v>4992.9382999999998</v>
      </c>
      <c r="I10" s="4">
        <v>0</v>
      </c>
      <c r="J10" s="5">
        <v>5484.7285000000002</v>
      </c>
      <c r="K10" s="4">
        <v>383.49549999999999</v>
      </c>
      <c r="L10" s="4">
        <v>5101.2330000000002</v>
      </c>
      <c r="M10" s="4">
        <v>156.54490000000001</v>
      </c>
      <c r="N10" s="4">
        <v>156.54490000000001</v>
      </c>
      <c r="O10" s="4">
        <v>391.00599999999997</v>
      </c>
      <c r="P10" s="4">
        <v>-573.20740000000001</v>
      </c>
      <c r="Q10" s="4">
        <v>16693.9571</v>
      </c>
      <c r="R10" s="4">
        <v>2789.4634000000001</v>
      </c>
      <c r="S10" s="4">
        <v>2675.1221999999998</v>
      </c>
      <c r="T10" s="4">
        <v>114.3412</v>
      </c>
      <c r="U10" s="4">
        <v>13960.644899999999</v>
      </c>
      <c r="V10" s="4">
        <v>1887.6186</v>
      </c>
      <c r="W10" s="4">
        <v>12073.0263</v>
      </c>
      <c r="X10" s="4">
        <v>154.3767</v>
      </c>
      <c r="Y10" s="4">
        <v>2.3424999999999998</v>
      </c>
      <c r="Z10" s="4">
        <v>152.0342</v>
      </c>
      <c r="AA10" s="4">
        <v>-222.42099999999999</v>
      </c>
      <c r="AB10" s="4">
        <v>-222.42099999999999</v>
      </c>
      <c r="AC10" s="4">
        <v>11.8931</v>
      </c>
    </row>
    <row r="11" spans="1:29" x14ac:dyDescent="0.2">
      <c r="A11" s="3">
        <v>38231</v>
      </c>
      <c r="B11" s="4">
        <v>15158.1865</v>
      </c>
      <c r="C11" s="4">
        <v>31.358599999999999</v>
      </c>
      <c r="D11" s="4">
        <v>4805.4957999999997</v>
      </c>
      <c r="E11" s="4">
        <v>2.8824000000000001</v>
      </c>
      <c r="F11" s="4">
        <v>4802.6135000000004</v>
      </c>
      <c r="G11" s="5">
        <v>4774.8459000000003</v>
      </c>
      <c r="H11" s="4">
        <v>4774.8459000000003</v>
      </c>
      <c r="I11" s="4">
        <v>0</v>
      </c>
      <c r="J11" s="5">
        <v>5001.8768</v>
      </c>
      <c r="K11" s="4">
        <v>3.9113000000000002</v>
      </c>
      <c r="L11" s="4">
        <v>4997.9655000000002</v>
      </c>
      <c r="M11" s="4">
        <v>149.32939999999999</v>
      </c>
      <c r="N11" s="4">
        <v>149.32939999999999</v>
      </c>
      <c r="O11" s="4">
        <v>395.2799</v>
      </c>
      <c r="P11" s="4">
        <v>-580.46939999999995</v>
      </c>
      <c r="Q11" s="4">
        <v>15738.6558</v>
      </c>
      <c r="R11" s="4">
        <v>2797.1152000000002</v>
      </c>
      <c r="S11" s="4">
        <v>2410.866</v>
      </c>
      <c r="T11" s="4">
        <v>386.24919999999997</v>
      </c>
      <c r="U11" s="4">
        <v>13427.206899999999</v>
      </c>
      <c r="V11" s="4">
        <v>2046.105</v>
      </c>
      <c r="W11" s="4">
        <v>11381.1019</v>
      </c>
      <c r="X11" s="4">
        <v>148.46170000000001</v>
      </c>
      <c r="Y11" s="4">
        <v>1.379</v>
      </c>
      <c r="Z11" s="4">
        <v>147.08269999999999</v>
      </c>
      <c r="AA11" s="4">
        <v>-674.71360000000004</v>
      </c>
      <c r="AB11" s="4">
        <v>-674.71360000000004</v>
      </c>
      <c r="AC11" s="4">
        <v>40.585700000000003</v>
      </c>
    </row>
    <row r="12" spans="1:29" x14ac:dyDescent="0.2">
      <c r="A12" s="3">
        <v>38322</v>
      </c>
      <c r="B12" s="4">
        <v>14862.718699999999</v>
      </c>
      <c r="C12" s="4">
        <v>31.147400000000001</v>
      </c>
      <c r="D12" s="4">
        <v>4506.4636</v>
      </c>
      <c r="E12" s="4">
        <v>23.860900000000001</v>
      </c>
      <c r="F12" s="4">
        <v>4482.6027000000004</v>
      </c>
      <c r="G12" s="5">
        <v>4417.7865000000002</v>
      </c>
      <c r="H12" s="4">
        <v>4417.7865000000002</v>
      </c>
      <c r="I12" s="4">
        <v>0</v>
      </c>
      <c r="J12" s="5">
        <v>5364.0640999999996</v>
      </c>
      <c r="K12" s="4">
        <v>1032.1273000000001</v>
      </c>
      <c r="L12" s="4">
        <v>4331.9368000000004</v>
      </c>
      <c r="M12" s="4">
        <v>139.5907</v>
      </c>
      <c r="N12" s="4">
        <v>139.5907</v>
      </c>
      <c r="O12" s="4">
        <v>403.66649999999998</v>
      </c>
      <c r="P12" s="4">
        <v>-510.47460000000001</v>
      </c>
      <c r="Q12" s="4">
        <v>15373.193300000001</v>
      </c>
      <c r="R12" s="4">
        <v>3791.7157000000002</v>
      </c>
      <c r="S12" s="4">
        <v>3461.9724000000001</v>
      </c>
      <c r="T12" s="4">
        <v>329.74329999999998</v>
      </c>
      <c r="U12" s="4">
        <v>12637.3181</v>
      </c>
      <c r="V12" s="4">
        <v>1631.4194</v>
      </c>
      <c r="W12" s="4">
        <v>11005.8987</v>
      </c>
      <c r="X12" s="4">
        <v>153.8544</v>
      </c>
      <c r="Y12" s="4">
        <v>8.8914000000000009</v>
      </c>
      <c r="Z12" s="4">
        <v>144.96299999999999</v>
      </c>
      <c r="AA12" s="4">
        <v>-1240.864</v>
      </c>
      <c r="AB12" s="4">
        <v>-1240.864</v>
      </c>
      <c r="AC12" s="4">
        <v>31.1691</v>
      </c>
    </row>
    <row r="13" spans="1:29" x14ac:dyDescent="0.2">
      <c r="A13" s="3">
        <v>38412</v>
      </c>
      <c r="B13" s="4">
        <v>14502.547399999999</v>
      </c>
      <c r="C13" s="4">
        <v>32.656999999999996</v>
      </c>
      <c r="D13" s="4">
        <v>4099.6813000000002</v>
      </c>
      <c r="E13" s="4">
        <v>13.557700000000001</v>
      </c>
      <c r="F13" s="4">
        <v>4086.1235000000001</v>
      </c>
      <c r="G13" s="5">
        <v>4881.0662000000002</v>
      </c>
      <c r="H13" s="4">
        <v>4881.0662000000002</v>
      </c>
      <c r="I13" s="4">
        <v>0</v>
      </c>
      <c r="J13" s="5">
        <v>4930.8131999999996</v>
      </c>
      <c r="K13" s="4">
        <v>750.12670000000003</v>
      </c>
      <c r="L13" s="4">
        <v>4180.6864999999998</v>
      </c>
      <c r="M13" s="4">
        <v>145.315</v>
      </c>
      <c r="N13" s="4">
        <v>145.315</v>
      </c>
      <c r="O13" s="4">
        <v>413.01479999999998</v>
      </c>
      <c r="P13" s="4">
        <v>-623.43920000000003</v>
      </c>
      <c r="Q13" s="4">
        <v>15125.9866</v>
      </c>
      <c r="R13" s="4">
        <v>3391.4036999999998</v>
      </c>
      <c r="S13" s="4">
        <v>3331.0057000000002</v>
      </c>
      <c r="T13" s="4">
        <v>60.398000000000003</v>
      </c>
      <c r="U13" s="4">
        <v>12588.7104</v>
      </c>
      <c r="V13" s="4">
        <v>1297.9205999999999</v>
      </c>
      <c r="W13" s="4">
        <v>11290.7898</v>
      </c>
      <c r="X13" s="4">
        <v>152.24760000000001</v>
      </c>
      <c r="Y13" s="4">
        <v>4.9409999999999998</v>
      </c>
      <c r="Z13" s="4">
        <v>147.3066</v>
      </c>
      <c r="AA13" s="4">
        <v>-1049.6789000000001</v>
      </c>
      <c r="AB13" s="4">
        <v>-1049.6789000000001</v>
      </c>
      <c r="AC13" s="4">
        <v>43.303800000000003</v>
      </c>
    </row>
    <row r="14" spans="1:29" x14ac:dyDescent="0.2">
      <c r="A14" s="3">
        <v>38504</v>
      </c>
      <c r="B14" s="4">
        <v>14390.973099999999</v>
      </c>
      <c r="C14" s="4">
        <v>31.798400000000001</v>
      </c>
      <c r="D14" s="4">
        <v>4348.2053999999998</v>
      </c>
      <c r="E14" s="4">
        <v>104.4949</v>
      </c>
      <c r="F14" s="4">
        <v>4243.7105000000001</v>
      </c>
      <c r="G14" s="5">
        <v>5247.3702999999996</v>
      </c>
      <c r="H14" s="4">
        <v>5247.3702999999996</v>
      </c>
      <c r="I14" s="4">
        <v>0.76759999999999995</v>
      </c>
      <c r="J14" s="5">
        <v>4157.7591000000002</v>
      </c>
      <c r="K14" s="4">
        <v>492.00209999999998</v>
      </c>
      <c r="L14" s="4">
        <v>3665.7570000000001</v>
      </c>
      <c r="M14" s="4">
        <v>142.1292</v>
      </c>
      <c r="N14" s="4">
        <v>142.1292</v>
      </c>
      <c r="O14" s="4">
        <v>462.94310000000002</v>
      </c>
      <c r="P14" s="4">
        <v>-651.77930000000003</v>
      </c>
      <c r="Q14" s="4">
        <v>15042.752399999999</v>
      </c>
      <c r="R14" s="4">
        <v>3767.4308000000001</v>
      </c>
      <c r="S14" s="4">
        <v>3123.9767000000002</v>
      </c>
      <c r="T14" s="4">
        <v>643.45410000000004</v>
      </c>
      <c r="U14" s="4">
        <v>12469.207</v>
      </c>
      <c r="V14" s="4">
        <v>1580.4828</v>
      </c>
      <c r="W14" s="4">
        <v>10888.724200000001</v>
      </c>
      <c r="X14" s="4">
        <v>146.96449999999999</v>
      </c>
      <c r="Y14" s="4">
        <v>4.8918999999999997</v>
      </c>
      <c r="Z14" s="4">
        <v>142.07249999999999</v>
      </c>
      <c r="AA14" s="4">
        <v>-1425.7579000000001</v>
      </c>
      <c r="AB14" s="4">
        <v>-1425.7579000000001</v>
      </c>
      <c r="AC14" s="4">
        <v>84.908000000000001</v>
      </c>
    </row>
    <row r="15" spans="1:29" x14ac:dyDescent="0.2">
      <c r="A15" s="3">
        <v>38596</v>
      </c>
      <c r="B15" s="4">
        <v>12777.4103</v>
      </c>
      <c r="C15" s="4">
        <v>29.692799999999998</v>
      </c>
      <c r="D15" s="4">
        <v>3967.3175000000001</v>
      </c>
      <c r="E15" s="4">
        <v>230.26329999999999</v>
      </c>
      <c r="F15" s="4">
        <v>3737.0542</v>
      </c>
      <c r="G15" s="5">
        <v>4349.7421999999997</v>
      </c>
      <c r="H15" s="4">
        <v>4349.7421999999997</v>
      </c>
      <c r="I15" s="4">
        <v>3.0556000000000001</v>
      </c>
      <c r="J15" s="5">
        <v>3820.1498999999999</v>
      </c>
      <c r="K15" s="4">
        <v>378.03070000000002</v>
      </c>
      <c r="L15" s="4">
        <v>3442.1192999999998</v>
      </c>
      <c r="M15" s="4">
        <v>130.87299999999999</v>
      </c>
      <c r="N15" s="4">
        <v>130.87299999999999</v>
      </c>
      <c r="O15" s="4">
        <v>476.57920000000001</v>
      </c>
      <c r="P15" s="4">
        <v>-572.28629999999998</v>
      </c>
      <c r="Q15" s="4">
        <v>13349.6965</v>
      </c>
      <c r="R15" s="4">
        <v>3203.1437000000001</v>
      </c>
      <c r="S15" s="4">
        <v>2937.6902</v>
      </c>
      <c r="T15" s="4">
        <v>265.45350000000002</v>
      </c>
      <c r="U15" s="4">
        <v>11986.0003</v>
      </c>
      <c r="V15" s="4">
        <v>1866.4413</v>
      </c>
      <c r="W15" s="4">
        <v>10119.5589</v>
      </c>
      <c r="X15" s="4">
        <v>134.7371</v>
      </c>
      <c r="Y15" s="4">
        <v>1.2662</v>
      </c>
      <c r="Z15" s="4">
        <v>133.4709</v>
      </c>
      <c r="AA15" s="4">
        <v>-2064.0473000000002</v>
      </c>
      <c r="AB15" s="4">
        <v>-2064.0473000000002</v>
      </c>
      <c r="AC15" s="4">
        <v>89.862700000000004</v>
      </c>
    </row>
    <row r="16" spans="1:29" x14ac:dyDescent="0.2">
      <c r="A16" s="3">
        <v>38687</v>
      </c>
      <c r="B16" s="4">
        <v>12790.7976</v>
      </c>
      <c r="C16" s="4">
        <v>28.765899999999998</v>
      </c>
      <c r="D16" s="4">
        <v>4673.7574999999997</v>
      </c>
      <c r="E16" s="4">
        <v>262.82240000000002</v>
      </c>
      <c r="F16" s="4">
        <v>4410.9350999999997</v>
      </c>
      <c r="G16" s="5">
        <v>4005.0273999999999</v>
      </c>
      <c r="H16" s="4">
        <v>4005.0273999999999</v>
      </c>
      <c r="I16" s="4">
        <v>0.93469999999999998</v>
      </c>
      <c r="J16" s="5">
        <v>3544.8816000000002</v>
      </c>
      <c r="K16" s="4">
        <v>412.5505</v>
      </c>
      <c r="L16" s="4">
        <v>3132.3310999999999</v>
      </c>
      <c r="M16" s="4">
        <v>125.6592</v>
      </c>
      <c r="N16" s="4">
        <v>125.6592</v>
      </c>
      <c r="O16" s="4">
        <v>411.7713</v>
      </c>
      <c r="P16" s="4">
        <v>-391.05079999999998</v>
      </c>
      <c r="Q16" s="4">
        <v>13181.848400000001</v>
      </c>
      <c r="R16" s="4">
        <v>4748.8477000000003</v>
      </c>
      <c r="S16" s="4">
        <v>3593.3254000000002</v>
      </c>
      <c r="T16" s="4">
        <v>1155.5223000000001</v>
      </c>
      <c r="U16" s="4">
        <v>10706.324500000001</v>
      </c>
      <c r="V16" s="4">
        <v>1927.6214</v>
      </c>
      <c r="W16" s="4">
        <v>8778.7031999999999</v>
      </c>
      <c r="X16" s="4">
        <v>139.53649999999999</v>
      </c>
      <c r="Y16" s="4">
        <v>8.4933999999999994</v>
      </c>
      <c r="Z16" s="4">
        <v>131.04310000000001</v>
      </c>
      <c r="AA16" s="4">
        <v>-2423.9119000000001</v>
      </c>
      <c r="AB16" s="4">
        <v>-2423.9119000000001</v>
      </c>
      <c r="AC16" s="4">
        <v>11.051600000000001</v>
      </c>
    </row>
    <row r="17" spans="1:29" x14ac:dyDescent="0.2">
      <c r="A17" s="3">
        <v>38777</v>
      </c>
      <c r="B17" s="4">
        <v>12074.333500000001</v>
      </c>
      <c r="C17" s="4">
        <v>30.233000000000001</v>
      </c>
      <c r="D17" s="4">
        <v>4240.8591999999999</v>
      </c>
      <c r="E17" s="4">
        <v>415.81720000000001</v>
      </c>
      <c r="F17" s="4">
        <v>3825.0419999999999</v>
      </c>
      <c r="G17" s="5">
        <v>4142.8635999999997</v>
      </c>
      <c r="H17" s="4">
        <v>4142.8635999999997</v>
      </c>
      <c r="I17" s="4">
        <v>7.1400000000000005E-2</v>
      </c>
      <c r="J17" s="5">
        <v>3115.0122000000001</v>
      </c>
      <c r="K17" s="4">
        <v>323.25409999999999</v>
      </c>
      <c r="L17" s="4">
        <v>2791.7581</v>
      </c>
      <c r="M17" s="4">
        <v>129.21299999999999</v>
      </c>
      <c r="N17" s="4">
        <v>129.21299999999999</v>
      </c>
      <c r="O17" s="4">
        <v>416.08100000000002</v>
      </c>
      <c r="P17" s="4">
        <v>-443.7989</v>
      </c>
      <c r="Q17" s="4">
        <v>12518.1325</v>
      </c>
      <c r="R17" s="4">
        <v>4298.63</v>
      </c>
      <c r="S17" s="4">
        <v>4016.5691000000002</v>
      </c>
      <c r="T17" s="4">
        <v>282.06079999999997</v>
      </c>
      <c r="U17" s="4">
        <v>10295.6967</v>
      </c>
      <c r="V17" s="4">
        <v>1809.9595999999999</v>
      </c>
      <c r="W17" s="4">
        <v>8485.7371999999996</v>
      </c>
      <c r="X17" s="4">
        <v>141.88659999999999</v>
      </c>
      <c r="Y17" s="4">
        <v>7.7854000000000001</v>
      </c>
      <c r="Z17" s="4">
        <v>134.10120000000001</v>
      </c>
      <c r="AA17" s="4">
        <v>-2233.0617000000002</v>
      </c>
      <c r="AB17" s="4">
        <v>-2233.0617000000002</v>
      </c>
      <c r="AC17" s="4">
        <v>14.9809</v>
      </c>
    </row>
    <row r="18" spans="1:29" x14ac:dyDescent="0.2">
      <c r="A18" s="3">
        <v>38869</v>
      </c>
      <c r="B18" s="4">
        <v>12955.059300000001</v>
      </c>
      <c r="C18" s="4">
        <v>32.259</v>
      </c>
      <c r="D18" s="4">
        <v>5279.3522999999996</v>
      </c>
      <c r="E18" s="4">
        <v>-4.3259999999999996</v>
      </c>
      <c r="F18" s="4">
        <v>5283.6782000000003</v>
      </c>
      <c r="G18" s="5">
        <v>4298.3537999999999</v>
      </c>
      <c r="H18" s="4">
        <v>4298.3537999999999</v>
      </c>
      <c r="I18" s="4">
        <v>1.8700000000000001E-2</v>
      </c>
      <c r="J18" s="5">
        <v>2794.3546999999999</v>
      </c>
      <c r="K18" s="4">
        <v>314.16669999999999</v>
      </c>
      <c r="L18" s="4">
        <v>2480.1878999999999</v>
      </c>
      <c r="M18" s="4">
        <v>134.90190000000001</v>
      </c>
      <c r="N18" s="4">
        <v>134.90190000000001</v>
      </c>
      <c r="O18" s="4">
        <v>415.81889999999999</v>
      </c>
      <c r="P18" s="4">
        <v>-265.08730000000003</v>
      </c>
      <c r="Q18" s="4">
        <v>13220.1466</v>
      </c>
      <c r="R18" s="4">
        <v>5274.3981999999996</v>
      </c>
      <c r="S18" s="4">
        <v>4030.7467999999999</v>
      </c>
      <c r="T18" s="4">
        <v>1243.6514</v>
      </c>
      <c r="U18" s="4">
        <v>9767.25</v>
      </c>
      <c r="V18" s="4">
        <v>1816.5413000000001</v>
      </c>
      <c r="W18" s="4">
        <v>7950.7087000000001</v>
      </c>
      <c r="X18" s="4">
        <v>144.17400000000001</v>
      </c>
      <c r="Y18" s="4">
        <v>2.8727</v>
      </c>
      <c r="Z18" s="4">
        <v>141.3013</v>
      </c>
      <c r="AA18" s="4">
        <v>-1974.9840999999999</v>
      </c>
      <c r="AB18" s="4">
        <v>-1974.9840999999999</v>
      </c>
      <c r="AC18" s="4">
        <v>9.3084000000000007</v>
      </c>
    </row>
    <row r="19" spans="1:29" x14ac:dyDescent="0.2">
      <c r="A19" s="3">
        <v>38961</v>
      </c>
      <c r="B19" s="4">
        <v>12646.946</v>
      </c>
      <c r="C19" s="4">
        <v>31.483000000000001</v>
      </c>
      <c r="D19" s="4">
        <v>5019.1322</v>
      </c>
      <c r="E19" s="4">
        <v>105.9836</v>
      </c>
      <c r="F19" s="4">
        <v>4913.1486000000004</v>
      </c>
      <c r="G19" s="5">
        <v>4385.3051999999998</v>
      </c>
      <c r="H19" s="4">
        <v>4385.3051999999998</v>
      </c>
      <c r="I19" s="4">
        <v>0.91810000000000003</v>
      </c>
      <c r="J19" s="5">
        <v>2656.8186999999998</v>
      </c>
      <c r="K19" s="4">
        <v>276.72789999999998</v>
      </c>
      <c r="L19" s="4">
        <v>2380.0907000000002</v>
      </c>
      <c r="M19" s="4">
        <v>132.59360000000001</v>
      </c>
      <c r="N19" s="4">
        <v>132.59360000000001</v>
      </c>
      <c r="O19" s="4">
        <v>420.69540000000001</v>
      </c>
      <c r="P19" s="4">
        <v>-323.52089999999998</v>
      </c>
      <c r="Q19" s="4">
        <v>12970.467000000001</v>
      </c>
      <c r="R19" s="4">
        <v>5615.0751</v>
      </c>
      <c r="S19" s="4">
        <v>4001.5717</v>
      </c>
      <c r="T19" s="4">
        <v>1613.5033000000001</v>
      </c>
      <c r="U19" s="4">
        <v>9283.0267999999996</v>
      </c>
      <c r="V19" s="4">
        <v>1669.5237999999999</v>
      </c>
      <c r="W19" s="4">
        <v>7613.5030999999999</v>
      </c>
      <c r="X19" s="4">
        <v>140.93369999999999</v>
      </c>
      <c r="Y19" s="4">
        <v>1.3708</v>
      </c>
      <c r="Z19" s="4">
        <v>139.56290000000001</v>
      </c>
      <c r="AA19" s="4">
        <v>-2079.0664999999999</v>
      </c>
      <c r="AB19" s="4">
        <v>-2079.0664999999999</v>
      </c>
      <c r="AC19" s="4">
        <v>10.4978</v>
      </c>
    </row>
    <row r="20" spans="1:29" x14ac:dyDescent="0.2">
      <c r="A20" s="3">
        <v>39052</v>
      </c>
      <c r="B20" s="4">
        <v>13532.3076</v>
      </c>
      <c r="C20" s="4">
        <v>31.494700000000002</v>
      </c>
      <c r="D20" s="4">
        <v>5817.4717000000001</v>
      </c>
      <c r="E20" s="4">
        <v>2.8736999999999999</v>
      </c>
      <c r="F20" s="4">
        <v>5814.598</v>
      </c>
      <c r="G20" s="5">
        <v>4517.4107999999997</v>
      </c>
      <c r="H20" s="4">
        <v>4517.4107999999997</v>
      </c>
      <c r="I20" s="4">
        <v>3.7100000000000001E-2</v>
      </c>
      <c r="J20" s="5">
        <v>3029.6921000000002</v>
      </c>
      <c r="K20" s="4">
        <v>673.00310000000002</v>
      </c>
      <c r="L20" s="4">
        <v>2356.6889999999999</v>
      </c>
      <c r="M20" s="4">
        <v>132.29050000000001</v>
      </c>
      <c r="N20" s="4">
        <v>132.29050000000001</v>
      </c>
      <c r="O20" s="4">
        <v>3.9106999999999998</v>
      </c>
      <c r="P20" s="4">
        <v>-397.02690000000001</v>
      </c>
      <c r="Q20" s="4">
        <v>13929.334500000001</v>
      </c>
      <c r="R20" s="4">
        <v>6917.8317999999999</v>
      </c>
      <c r="S20" s="4">
        <v>4378.1932999999999</v>
      </c>
      <c r="T20" s="4">
        <v>2539.6385</v>
      </c>
      <c r="U20" s="4">
        <v>8992.0246999999999</v>
      </c>
      <c r="V20" s="4">
        <v>1716.0098</v>
      </c>
      <c r="W20" s="4">
        <v>7276.0150000000003</v>
      </c>
      <c r="X20" s="4">
        <v>150.55410000000001</v>
      </c>
      <c r="Y20" s="4">
        <v>7.2809999999999997</v>
      </c>
      <c r="Z20" s="4">
        <v>143.2732</v>
      </c>
      <c r="AA20" s="4">
        <v>-2143.6918999999998</v>
      </c>
      <c r="AB20" s="4">
        <v>-2143.6918999999998</v>
      </c>
      <c r="AC20" s="4">
        <v>12.6158</v>
      </c>
    </row>
    <row r="21" spans="1:29" x14ac:dyDescent="0.2">
      <c r="A21" s="3">
        <v>39142</v>
      </c>
      <c r="B21" s="4">
        <v>11377.854799999999</v>
      </c>
      <c r="C21" s="4">
        <v>31.640799999999999</v>
      </c>
      <c r="D21" s="4">
        <v>3856.5686999999998</v>
      </c>
      <c r="E21" s="4">
        <v>8.0300999999999991</v>
      </c>
      <c r="F21" s="4">
        <v>3848.5385999999999</v>
      </c>
      <c r="G21" s="5">
        <v>4379.4508999999998</v>
      </c>
      <c r="H21" s="4">
        <v>4379.4508999999998</v>
      </c>
      <c r="I21" s="4">
        <v>3.0000000000000001E-3</v>
      </c>
      <c r="J21" s="5">
        <v>2972.6392999999998</v>
      </c>
      <c r="K21" s="4">
        <v>582.0806</v>
      </c>
      <c r="L21" s="4">
        <v>2390.5587999999998</v>
      </c>
      <c r="M21" s="4">
        <v>133.6446</v>
      </c>
      <c r="N21" s="4">
        <v>133.6446</v>
      </c>
      <c r="O21" s="4">
        <v>3.9074</v>
      </c>
      <c r="P21" s="4">
        <v>-411.73570000000001</v>
      </c>
      <c r="Q21" s="4">
        <v>11789.5905</v>
      </c>
      <c r="R21" s="4">
        <v>4794.2080999999998</v>
      </c>
      <c r="S21" s="4">
        <v>4219.5434999999998</v>
      </c>
      <c r="T21" s="4">
        <v>574.66459999999995</v>
      </c>
      <c r="U21" s="4">
        <v>8880.4516000000003</v>
      </c>
      <c r="V21" s="4">
        <v>1451.9384</v>
      </c>
      <c r="W21" s="4">
        <v>7428.5132000000003</v>
      </c>
      <c r="X21" s="4">
        <v>150.98609999999999</v>
      </c>
      <c r="Y21" s="4">
        <v>6.9055999999999997</v>
      </c>
      <c r="Z21" s="4">
        <v>144.0805</v>
      </c>
      <c r="AA21" s="4">
        <v>-2046.8303000000001</v>
      </c>
      <c r="AB21" s="4">
        <v>-2046.8303000000001</v>
      </c>
      <c r="AC21" s="4">
        <v>10.775</v>
      </c>
    </row>
    <row r="22" spans="1:29" x14ac:dyDescent="0.2">
      <c r="A22" s="3">
        <v>39234</v>
      </c>
      <c r="B22" s="4">
        <v>12460.7052</v>
      </c>
      <c r="C22" s="4">
        <v>30.700199999999999</v>
      </c>
      <c r="D22" s="4">
        <v>5006.3734000000004</v>
      </c>
      <c r="E22" s="4">
        <v>2.9767999999999999</v>
      </c>
      <c r="F22" s="4">
        <v>5003.3966</v>
      </c>
      <c r="G22" s="5">
        <v>4370.4022000000004</v>
      </c>
      <c r="H22" s="4">
        <v>4370.4022000000004</v>
      </c>
      <c r="I22" s="4">
        <v>-6.6E-3</v>
      </c>
      <c r="J22" s="5">
        <v>2918.5814</v>
      </c>
      <c r="K22" s="4">
        <v>611.90570000000002</v>
      </c>
      <c r="L22" s="4">
        <v>2306.6756999999998</v>
      </c>
      <c r="M22" s="4">
        <v>130.81290000000001</v>
      </c>
      <c r="N22" s="4">
        <v>130.81290000000001</v>
      </c>
      <c r="O22" s="4">
        <v>3.8416000000000001</v>
      </c>
      <c r="P22" s="4">
        <v>-265.75569999999999</v>
      </c>
      <c r="Q22" s="4">
        <v>12726.460800000001</v>
      </c>
      <c r="R22" s="4">
        <v>5675.2811000000002</v>
      </c>
      <c r="S22" s="4">
        <v>4562.8638000000001</v>
      </c>
      <c r="T22" s="4">
        <v>1112.4173000000001</v>
      </c>
      <c r="U22" s="4">
        <v>8759.875</v>
      </c>
      <c r="V22" s="4">
        <v>1374.0536</v>
      </c>
      <c r="W22" s="4">
        <v>7385.8215</v>
      </c>
      <c r="X22" s="4">
        <v>144.26060000000001</v>
      </c>
      <c r="Y22" s="4">
        <v>2.2557999999999998</v>
      </c>
      <c r="Z22" s="4">
        <v>142.00479999999999</v>
      </c>
      <c r="AA22" s="4">
        <v>-1865.4742000000001</v>
      </c>
      <c r="AB22" s="4">
        <v>-1865.4742000000001</v>
      </c>
      <c r="AC22" s="4">
        <v>12.5183</v>
      </c>
    </row>
    <row r="23" spans="1:29" x14ac:dyDescent="0.2">
      <c r="A23" s="3">
        <v>39326</v>
      </c>
      <c r="B23" s="4">
        <v>10898.898999999999</v>
      </c>
      <c r="C23" s="4">
        <v>29.959900000000001</v>
      </c>
      <c r="D23" s="4">
        <v>3997.4573</v>
      </c>
      <c r="E23" s="4">
        <v>16.3353</v>
      </c>
      <c r="F23" s="4">
        <v>3981.1219999999998</v>
      </c>
      <c r="G23" s="5">
        <v>4306.0176000000001</v>
      </c>
      <c r="H23" s="4">
        <v>4306.0176000000001</v>
      </c>
      <c r="I23" s="4">
        <v>0</v>
      </c>
      <c r="J23" s="5">
        <v>2433.7465000000002</v>
      </c>
      <c r="K23" s="4">
        <v>341.11630000000002</v>
      </c>
      <c r="L23" s="4">
        <v>2092.6300999999999</v>
      </c>
      <c r="M23" s="4">
        <v>127.7941</v>
      </c>
      <c r="N23" s="4">
        <v>127.7941</v>
      </c>
      <c r="O23" s="4">
        <v>3.9237000000000002</v>
      </c>
      <c r="P23" s="4">
        <v>-264.55099999999999</v>
      </c>
      <c r="Q23" s="4">
        <v>11163.45</v>
      </c>
      <c r="R23" s="4">
        <v>4923.4642999999996</v>
      </c>
      <c r="S23" s="4">
        <v>4474.3356000000003</v>
      </c>
      <c r="T23" s="4">
        <v>449.12869999999998</v>
      </c>
      <c r="U23" s="4">
        <v>8081.9549999999999</v>
      </c>
      <c r="V23" s="4">
        <v>1157.5417</v>
      </c>
      <c r="W23" s="4">
        <v>6924.4133000000002</v>
      </c>
      <c r="X23" s="4">
        <v>143.00640000000001</v>
      </c>
      <c r="Y23" s="4">
        <v>0.76280000000000003</v>
      </c>
      <c r="Z23" s="4">
        <v>142.24359999999999</v>
      </c>
      <c r="AA23" s="4">
        <v>-2000.761</v>
      </c>
      <c r="AB23" s="4">
        <v>-2000.761</v>
      </c>
      <c r="AC23" s="4">
        <v>15.785399999999999</v>
      </c>
    </row>
    <row r="24" spans="1:29" x14ac:dyDescent="0.2">
      <c r="A24" s="3">
        <v>39417</v>
      </c>
      <c r="B24" s="4">
        <v>10925.1716</v>
      </c>
      <c r="C24" s="4">
        <v>29.171500000000002</v>
      </c>
      <c r="D24" s="4">
        <v>3605.8984999999998</v>
      </c>
      <c r="E24" s="4">
        <v>4.2106000000000003</v>
      </c>
      <c r="F24" s="4">
        <v>3601.6878999999999</v>
      </c>
      <c r="G24" s="5">
        <v>4715.7718999999997</v>
      </c>
      <c r="H24" s="4">
        <v>4715.7718999999997</v>
      </c>
      <c r="I24" s="4">
        <v>0</v>
      </c>
      <c r="J24" s="5">
        <v>2445.6936000000001</v>
      </c>
      <c r="K24" s="4">
        <v>596.96209999999996</v>
      </c>
      <c r="L24" s="4">
        <v>1848.7315000000001</v>
      </c>
      <c r="M24" s="4">
        <v>124.20610000000001</v>
      </c>
      <c r="N24" s="4">
        <v>124.20610000000001</v>
      </c>
      <c r="O24" s="4">
        <v>4.43</v>
      </c>
      <c r="P24" s="4">
        <v>-241.13229999999999</v>
      </c>
      <c r="Q24" s="4">
        <v>11166.303900000001</v>
      </c>
      <c r="R24" s="4">
        <v>5189.3568999999998</v>
      </c>
      <c r="S24" s="4">
        <v>5064.5712000000003</v>
      </c>
      <c r="T24" s="4">
        <v>124.78579999999999</v>
      </c>
      <c r="U24" s="4">
        <v>7992.1203999999998</v>
      </c>
      <c r="V24" s="4">
        <v>842.80539999999996</v>
      </c>
      <c r="W24" s="4">
        <v>7149.3149999999996</v>
      </c>
      <c r="X24" s="4">
        <v>150.76429999999999</v>
      </c>
      <c r="Y24" s="4">
        <v>6.3131000000000004</v>
      </c>
      <c r="Z24" s="4">
        <v>144.4512</v>
      </c>
      <c r="AA24" s="4">
        <v>-2177.4083999999998</v>
      </c>
      <c r="AB24" s="4">
        <v>-2177.4083999999998</v>
      </c>
      <c r="AC24" s="4">
        <v>11.470599999999999</v>
      </c>
    </row>
    <row r="25" spans="1:29" x14ac:dyDescent="0.2">
      <c r="A25" s="3">
        <v>39508</v>
      </c>
      <c r="B25" s="4">
        <v>9867.5403999999999</v>
      </c>
      <c r="C25" s="4">
        <v>26.673500000000001</v>
      </c>
      <c r="D25" s="4">
        <v>2854.0531999999998</v>
      </c>
      <c r="E25" s="4">
        <v>48.0869</v>
      </c>
      <c r="F25" s="4">
        <v>2805.9663</v>
      </c>
      <c r="G25" s="5">
        <v>4953.6118999999999</v>
      </c>
      <c r="H25" s="4">
        <v>4953.6118999999999</v>
      </c>
      <c r="I25" s="4">
        <v>0</v>
      </c>
      <c r="J25" s="5">
        <v>1918.0223000000001</v>
      </c>
      <c r="K25" s="4">
        <v>32.653100000000002</v>
      </c>
      <c r="L25" s="4">
        <v>1885.3692000000001</v>
      </c>
      <c r="M25" s="4">
        <v>111.21469999999999</v>
      </c>
      <c r="N25" s="4">
        <v>111.21469999999999</v>
      </c>
      <c r="O25" s="4">
        <v>3.9647000000000001</v>
      </c>
      <c r="P25" s="4">
        <v>-340.61599999999999</v>
      </c>
      <c r="Q25" s="4">
        <v>10208.156300000001</v>
      </c>
      <c r="R25" s="4">
        <v>4554.1112000000003</v>
      </c>
      <c r="S25" s="4">
        <v>4455.8019000000004</v>
      </c>
      <c r="T25" s="4">
        <v>98.309399999999997</v>
      </c>
      <c r="U25" s="4">
        <v>8369.6797999999999</v>
      </c>
      <c r="V25" s="4">
        <v>1277.96</v>
      </c>
      <c r="W25" s="4">
        <v>7091.7196999999996</v>
      </c>
      <c r="X25" s="4">
        <v>141.34180000000001</v>
      </c>
      <c r="Y25" s="4">
        <v>3.7618</v>
      </c>
      <c r="Z25" s="4">
        <v>137.58000000000001</v>
      </c>
      <c r="AA25" s="4">
        <v>-2862.8128000000002</v>
      </c>
      <c r="AB25" s="4">
        <v>-2862.8128000000002</v>
      </c>
      <c r="AC25" s="4">
        <v>5.8364000000000003</v>
      </c>
    </row>
    <row r="26" spans="1:29" x14ac:dyDescent="0.2">
      <c r="A26" s="3">
        <v>39600</v>
      </c>
      <c r="B26" s="4">
        <v>12477.463900000001</v>
      </c>
      <c r="C26" s="4">
        <v>35.6586</v>
      </c>
      <c r="D26" s="4">
        <v>3623.6109000000001</v>
      </c>
      <c r="E26" s="4">
        <v>5.0865</v>
      </c>
      <c r="F26" s="4">
        <v>3618.5243999999998</v>
      </c>
      <c r="G26" s="5">
        <v>6823.7502000000004</v>
      </c>
      <c r="H26" s="4">
        <v>6823.7502000000004</v>
      </c>
      <c r="I26" s="4">
        <v>0</v>
      </c>
      <c r="J26" s="5">
        <v>1858.9825000000001</v>
      </c>
      <c r="K26" s="4">
        <v>50.052799999999998</v>
      </c>
      <c r="L26" s="4">
        <v>1808.9297999999999</v>
      </c>
      <c r="M26" s="4">
        <v>131.50559999999999</v>
      </c>
      <c r="N26" s="4">
        <v>131.50559999999999</v>
      </c>
      <c r="O26" s="4">
        <v>3.9561000000000002</v>
      </c>
      <c r="P26" s="4">
        <v>-127.5355</v>
      </c>
      <c r="Q26" s="4">
        <v>12604.999400000001</v>
      </c>
      <c r="R26" s="4">
        <v>4979.3422</v>
      </c>
      <c r="S26" s="4">
        <v>4968.7093000000004</v>
      </c>
      <c r="T26" s="4">
        <v>10.632899999999999</v>
      </c>
      <c r="U26" s="4">
        <v>8999.2224999999999</v>
      </c>
      <c r="V26" s="4">
        <v>1198.4656</v>
      </c>
      <c r="W26" s="4">
        <v>7800.7568000000001</v>
      </c>
      <c r="X26" s="4">
        <v>157.1251</v>
      </c>
      <c r="Y26" s="4">
        <v>3.2961999999999998</v>
      </c>
      <c r="Z26" s="4">
        <v>153.82900000000001</v>
      </c>
      <c r="AA26" s="4">
        <v>-1542.6504</v>
      </c>
      <c r="AB26" s="4">
        <v>-1542.6504</v>
      </c>
      <c r="AC26" s="4">
        <v>11.96</v>
      </c>
    </row>
    <row r="27" spans="1:29" x14ac:dyDescent="0.2">
      <c r="A27" s="3">
        <v>39692</v>
      </c>
      <c r="B27" s="4">
        <v>15688.740299999999</v>
      </c>
      <c r="C27" s="4">
        <v>35.746499999999997</v>
      </c>
      <c r="D27" s="4">
        <v>4775.2103999999999</v>
      </c>
      <c r="E27" s="4">
        <v>17.444400000000002</v>
      </c>
      <c r="F27" s="4">
        <v>4757.7659000000003</v>
      </c>
      <c r="G27" s="5">
        <v>8545.8961999999992</v>
      </c>
      <c r="H27" s="4">
        <v>8545.8961999999992</v>
      </c>
      <c r="I27" s="4">
        <v>0</v>
      </c>
      <c r="J27" s="5">
        <v>2189.7267000000002</v>
      </c>
      <c r="K27" s="4">
        <v>297.94830000000002</v>
      </c>
      <c r="L27" s="4">
        <v>1891.7784999999999</v>
      </c>
      <c r="M27" s="4">
        <v>137.9034</v>
      </c>
      <c r="N27" s="4">
        <v>137.9034</v>
      </c>
      <c r="O27" s="4">
        <v>4.2571000000000003</v>
      </c>
      <c r="P27" s="4">
        <v>-79.908900000000003</v>
      </c>
      <c r="Q27" s="4">
        <v>15768.6492</v>
      </c>
      <c r="R27" s="4">
        <v>6102.3074999999999</v>
      </c>
      <c r="S27" s="4">
        <v>5445.0964000000004</v>
      </c>
      <c r="T27" s="4">
        <v>657.21109999999999</v>
      </c>
      <c r="U27" s="4">
        <v>10600.3851</v>
      </c>
      <c r="V27" s="4">
        <v>1582.8912</v>
      </c>
      <c r="W27" s="4">
        <v>9017.4938999999995</v>
      </c>
      <c r="X27" s="4">
        <v>156.9615</v>
      </c>
      <c r="Y27" s="4">
        <v>1.7618</v>
      </c>
      <c r="Z27" s="4">
        <v>155.19980000000001</v>
      </c>
      <c r="AA27" s="4">
        <v>-1097.3965000000001</v>
      </c>
      <c r="AB27" s="4">
        <v>-1097.3965000000001</v>
      </c>
      <c r="AC27" s="4">
        <v>6.3914999999999997</v>
      </c>
    </row>
    <row r="28" spans="1:29" x14ac:dyDescent="0.2">
      <c r="A28" s="3">
        <v>39783</v>
      </c>
      <c r="B28" s="4">
        <v>17577.554199999999</v>
      </c>
      <c r="C28" s="4">
        <v>39.556800000000003</v>
      </c>
      <c r="D28" s="4">
        <v>3618.0877999999998</v>
      </c>
      <c r="E28" s="4">
        <v>30.279900000000001</v>
      </c>
      <c r="F28" s="4">
        <v>3587.8078999999998</v>
      </c>
      <c r="G28" s="5">
        <v>10861.8177</v>
      </c>
      <c r="H28" s="4">
        <v>10861.8177</v>
      </c>
      <c r="I28" s="4">
        <v>-28.331099999999999</v>
      </c>
      <c r="J28" s="5">
        <v>2922.6959000000002</v>
      </c>
      <c r="K28" s="4">
        <v>1003.5167</v>
      </c>
      <c r="L28" s="4">
        <v>1919.1792</v>
      </c>
      <c r="M28" s="4">
        <v>156.7841</v>
      </c>
      <c r="N28" s="4">
        <v>156.7841</v>
      </c>
      <c r="O28" s="4">
        <v>6.9431000000000003</v>
      </c>
      <c r="P28" s="4">
        <v>-97.007300000000001</v>
      </c>
      <c r="Q28" s="4">
        <v>17674.5615</v>
      </c>
      <c r="R28" s="4">
        <v>6154.2610999999997</v>
      </c>
      <c r="S28" s="4">
        <v>5777.9210999999996</v>
      </c>
      <c r="T28" s="4">
        <v>376.34</v>
      </c>
      <c r="U28" s="4">
        <v>10705.6284</v>
      </c>
      <c r="V28" s="4">
        <v>1262.4269999999999</v>
      </c>
      <c r="W28" s="4">
        <v>9443.2013999999999</v>
      </c>
      <c r="X28" s="4">
        <v>181.4196</v>
      </c>
      <c r="Y28" s="4">
        <v>7.4443000000000001</v>
      </c>
      <c r="Z28" s="4">
        <v>173.9753</v>
      </c>
      <c r="AA28" s="4">
        <v>617.68600000000004</v>
      </c>
      <c r="AB28" s="4">
        <v>617.68600000000004</v>
      </c>
      <c r="AC28" s="4">
        <v>15.5664</v>
      </c>
    </row>
    <row r="29" spans="1:29" x14ac:dyDescent="0.2">
      <c r="A29" s="3">
        <v>39873</v>
      </c>
      <c r="B29" s="4">
        <v>16257.674800000001</v>
      </c>
      <c r="C29" s="4">
        <v>36.317900000000002</v>
      </c>
      <c r="D29" s="4">
        <v>3260.1298999999999</v>
      </c>
      <c r="E29" s="4">
        <v>26.9071</v>
      </c>
      <c r="F29" s="4">
        <v>3233.2228</v>
      </c>
      <c r="G29" s="5">
        <v>10251.561799999999</v>
      </c>
      <c r="H29" s="4">
        <v>10251.561799999999</v>
      </c>
      <c r="I29" s="4">
        <v>-14.760999999999999</v>
      </c>
      <c r="J29" s="5">
        <v>2567.1008000000002</v>
      </c>
      <c r="K29" s="4">
        <v>671.80100000000004</v>
      </c>
      <c r="L29" s="4">
        <v>1895.2998</v>
      </c>
      <c r="M29" s="4">
        <v>143.7766</v>
      </c>
      <c r="N29" s="4">
        <v>143.7766</v>
      </c>
      <c r="O29" s="4">
        <v>13.5488</v>
      </c>
      <c r="P29" s="4">
        <v>-556.94529999999997</v>
      </c>
      <c r="Q29" s="4">
        <v>16814.6201</v>
      </c>
      <c r="R29" s="4">
        <v>5448.0432000000001</v>
      </c>
      <c r="S29" s="4">
        <v>5355.4459999999999</v>
      </c>
      <c r="T29" s="4">
        <v>92.597200000000001</v>
      </c>
      <c r="U29" s="4">
        <v>11689.9604</v>
      </c>
      <c r="V29" s="4">
        <v>2036.0503000000001</v>
      </c>
      <c r="W29" s="4">
        <v>9653.9100999999991</v>
      </c>
      <c r="X29" s="4">
        <v>164.3973</v>
      </c>
      <c r="Y29" s="4">
        <v>2.5259</v>
      </c>
      <c r="Z29" s="4">
        <v>161.87139999999999</v>
      </c>
      <c r="AA29" s="4">
        <v>-498.81079999999997</v>
      </c>
      <c r="AB29" s="4">
        <v>-498.81079999999997</v>
      </c>
      <c r="AC29" s="4">
        <v>11.03</v>
      </c>
    </row>
    <row r="30" spans="1:29" x14ac:dyDescent="0.2">
      <c r="A30" s="3">
        <v>39965</v>
      </c>
      <c r="B30" s="4">
        <v>15443.939</v>
      </c>
      <c r="C30" s="4">
        <v>34.151400000000002</v>
      </c>
      <c r="D30" s="4">
        <v>3019.009</v>
      </c>
      <c r="E30" s="4">
        <v>10.202</v>
      </c>
      <c r="F30" s="4">
        <v>3008.8069</v>
      </c>
      <c r="G30" s="5">
        <v>9310.8498999999993</v>
      </c>
      <c r="H30" s="4">
        <v>9310.8498999999993</v>
      </c>
      <c r="I30" s="4">
        <v>-21.436</v>
      </c>
      <c r="J30" s="5">
        <v>2960.0994000000001</v>
      </c>
      <c r="K30" s="4">
        <v>1145.8275000000001</v>
      </c>
      <c r="L30" s="4">
        <v>1814.2718</v>
      </c>
      <c r="M30" s="4">
        <v>131.95099999999999</v>
      </c>
      <c r="N30" s="4">
        <v>131.95099999999999</v>
      </c>
      <c r="O30" s="4">
        <v>9.3143999999999991</v>
      </c>
      <c r="P30" s="4">
        <v>-332.36840000000001</v>
      </c>
      <c r="Q30" s="4">
        <v>15776.3074</v>
      </c>
      <c r="R30" s="4">
        <v>5525.4677000000001</v>
      </c>
      <c r="S30" s="4">
        <v>5470.6432000000004</v>
      </c>
      <c r="T30" s="4">
        <v>54.824599999999997</v>
      </c>
      <c r="U30" s="4">
        <v>11576.062599999999</v>
      </c>
      <c r="V30" s="4">
        <v>1966.6972000000001</v>
      </c>
      <c r="W30" s="4">
        <v>9609.3654000000006</v>
      </c>
      <c r="X30" s="4">
        <v>157.45429999999999</v>
      </c>
      <c r="Y30" s="4">
        <v>0.9738</v>
      </c>
      <c r="Z30" s="4">
        <v>156.48050000000001</v>
      </c>
      <c r="AA30" s="4">
        <v>-1492.4966999999999</v>
      </c>
      <c r="AB30" s="4">
        <v>-1492.4966999999999</v>
      </c>
      <c r="AC30" s="4">
        <v>9.8194999999999997</v>
      </c>
    </row>
    <row r="31" spans="1:29" x14ac:dyDescent="0.2">
      <c r="A31" s="3">
        <v>40057</v>
      </c>
      <c r="B31" s="4">
        <v>18211.764800000001</v>
      </c>
      <c r="C31" s="4">
        <v>637.48059999999998</v>
      </c>
      <c r="D31" s="4">
        <v>3573.4422</v>
      </c>
      <c r="E31" s="4">
        <v>14.401999999999999</v>
      </c>
      <c r="F31" s="4">
        <v>3559.0401999999999</v>
      </c>
      <c r="G31" s="5">
        <v>9969.2309000000005</v>
      </c>
      <c r="H31" s="4">
        <v>9969.2309000000005</v>
      </c>
      <c r="I31" s="4">
        <v>0.32240000000000002</v>
      </c>
      <c r="J31" s="5">
        <v>3888.3831</v>
      </c>
      <c r="K31" s="4">
        <v>2062.9771999999998</v>
      </c>
      <c r="L31" s="4">
        <v>1825.4058</v>
      </c>
      <c r="M31" s="4">
        <v>136.92930000000001</v>
      </c>
      <c r="N31" s="4">
        <v>136.92930000000001</v>
      </c>
      <c r="O31" s="4">
        <v>5.9763999999999999</v>
      </c>
      <c r="P31" s="4">
        <v>-422.5609</v>
      </c>
      <c r="Q31" s="4">
        <v>18634.325700000001</v>
      </c>
      <c r="R31" s="4">
        <v>6774.2999</v>
      </c>
      <c r="S31" s="4">
        <v>6525.2857999999997</v>
      </c>
      <c r="T31" s="4">
        <v>249.01419999999999</v>
      </c>
      <c r="U31" s="4">
        <v>11974.714099999999</v>
      </c>
      <c r="V31" s="4">
        <v>3489.6635999999999</v>
      </c>
      <c r="W31" s="4">
        <v>8485.0504999999994</v>
      </c>
      <c r="X31" s="4">
        <v>764.71709999999996</v>
      </c>
      <c r="Y31" s="4">
        <v>1.129</v>
      </c>
      <c r="Z31" s="4">
        <v>763.58810000000005</v>
      </c>
      <c r="AA31" s="4">
        <v>-889.38030000000003</v>
      </c>
      <c r="AB31" s="4">
        <v>-889.38030000000003</v>
      </c>
      <c r="AC31" s="4">
        <v>9.9748999999999999</v>
      </c>
    </row>
    <row r="32" spans="1:29" x14ac:dyDescent="0.2">
      <c r="A32" s="3">
        <v>40148</v>
      </c>
      <c r="B32" s="4">
        <v>18162.782899999998</v>
      </c>
      <c r="C32" s="4">
        <v>583.4991</v>
      </c>
      <c r="D32" s="4">
        <v>3296.3069999999998</v>
      </c>
      <c r="E32" s="4">
        <v>9.8507999999999996</v>
      </c>
      <c r="F32" s="4">
        <v>3286.4562000000001</v>
      </c>
      <c r="G32" s="5">
        <v>8926.5961000000007</v>
      </c>
      <c r="H32" s="4">
        <v>8926.5961000000007</v>
      </c>
      <c r="I32" s="4">
        <v>4.2866999999999997</v>
      </c>
      <c r="J32" s="5">
        <v>5217.6709000000001</v>
      </c>
      <c r="K32" s="4">
        <v>3364.8193999999999</v>
      </c>
      <c r="L32" s="4">
        <v>1852.8514</v>
      </c>
      <c r="M32" s="4">
        <v>126.51260000000001</v>
      </c>
      <c r="N32" s="4">
        <v>126.51260000000001</v>
      </c>
      <c r="O32" s="4">
        <v>7.9104999999999999</v>
      </c>
      <c r="P32" s="4">
        <v>-259.48219999999998</v>
      </c>
      <c r="Q32" s="4">
        <v>18422.265100000001</v>
      </c>
      <c r="R32" s="4">
        <v>7892.6021000000001</v>
      </c>
      <c r="S32" s="4">
        <v>7783.6579000000002</v>
      </c>
      <c r="T32" s="4">
        <v>108.9442</v>
      </c>
      <c r="U32" s="4">
        <v>11776.184800000001</v>
      </c>
      <c r="V32" s="4">
        <v>3604.9738000000002</v>
      </c>
      <c r="W32" s="4">
        <v>8171.2110000000002</v>
      </c>
      <c r="X32" s="4">
        <v>704.31050000000005</v>
      </c>
      <c r="Y32" s="4">
        <v>1.8658999999999999</v>
      </c>
      <c r="Z32" s="4">
        <v>702.44460000000004</v>
      </c>
      <c r="AA32" s="4">
        <v>-1960.213</v>
      </c>
      <c r="AB32" s="4">
        <v>-1960.213</v>
      </c>
      <c r="AC32" s="4">
        <v>9.3806999999999992</v>
      </c>
    </row>
    <row r="33" spans="1:29" x14ac:dyDescent="0.2">
      <c r="A33" s="3">
        <v>40238</v>
      </c>
      <c r="B33" s="4">
        <v>18236.586200000002</v>
      </c>
      <c r="C33" s="4">
        <v>589.55020000000002</v>
      </c>
      <c r="D33" s="4">
        <v>3428.1592000000001</v>
      </c>
      <c r="E33" s="4">
        <v>33.385599999999997</v>
      </c>
      <c r="F33" s="4">
        <v>3394.7736</v>
      </c>
      <c r="G33" s="5">
        <v>9452.2525000000005</v>
      </c>
      <c r="H33" s="4">
        <v>9452.2525000000005</v>
      </c>
      <c r="I33" s="4">
        <v>0</v>
      </c>
      <c r="J33" s="5">
        <v>4627.1439</v>
      </c>
      <c r="K33" s="4">
        <v>2750.0799000000002</v>
      </c>
      <c r="L33" s="4">
        <v>1877.0640000000001</v>
      </c>
      <c r="M33" s="4">
        <v>130.505</v>
      </c>
      <c r="N33" s="4">
        <v>130.505</v>
      </c>
      <c r="O33" s="4">
        <v>8.9754000000000005</v>
      </c>
      <c r="P33" s="4">
        <v>-375.22710000000001</v>
      </c>
      <c r="Q33" s="4">
        <v>18611.813300000002</v>
      </c>
      <c r="R33" s="4">
        <v>7112.7491</v>
      </c>
      <c r="S33" s="4">
        <v>6905.6234999999997</v>
      </c>
      <c r="T33" s="4">
        <v>207.12559999999999</v>
      </c>
      <c r="U33" s="4">
        <v>12599.3076</v>
      </c>
      <c r="V33" s="4">
        <v>4488.1860999999999</v>
      </c>
      <c r="W33" s="4">
        <v>8111.1215000000002</v>
      </c>
      <c r="X33" s="4">
        <v>710.89160000000004</v>
      </c>
      <c r="Y33" s="4">
        <v>0.96819999999999995</v>
      </c>
      <c r="Z33" s="4">
        <v>709.92349999999999</v>
      </c>
      <c r="AA33" s="4">
        <v>-1821.6746000000001</v>
      </c>
      <c r="AB33" s="4">
        <v>-1821.6746000000001</v>
      </c>
      <c r="AC33" s="4">
        <v>10.5395</v>
      </c>
    </row>
    <row r="34" spans="1:29" x14ac:dyDescent="0.2">
      <c r="A34" s="3">
        <v>40330</v>
      </c>
      <c r="B34" s="4">
        <v>16899.840499999998</v>
      </c>
      <c r="C34" s="4">
        <v>639.91470000000004</v>
      </c>
      <c r="D34" s="4">
        <v>3028.3386999999998</v>
      </c>
      <c r="E34" s="4">
        <v>10.7301</v>
      </c>
      <c r="F34" s="4">
        <v>3017.6086</v>
      </c>
      <c r="G34" s="5">
        <v>9978.7731000000003</v>
      </c>
      <c r="H34" s="4">
        <v>9978.7731000000003</v>
      </c>
      <c r="I34" s="4">
        <v>0</v>
      </c>
      <c r="J34" s="5">
        <v>3114.029</v>
      </c>
      <c r="K34" s="4">
        <v>1302.8743999999999</v>
      </c>
      <c r="L34" s="4">
        <v>1811.1546000000001</v>
      </c>
      <c r="M34" s="4">
        <v>133.77090000000001</v>
      </c>
      <c r="N34" s="4">
        <v>133.77090000000001</v>
      </c>
      <c r="O34" s="4">
        <v>5.0141999999999998</v>
      </c>
      <c r="P34" s="4">
        <v>-309.26089999999999</v>
      </c>
      <c r="Q34" s="4">
        <v>17209.1014</v>
      </c>
      <c r="R34" s="4">
        <v>7837.3698999999997</v>
      </c>
      <c r="S34" s="4">
        <v>7556.2943999999998</v>
      </c>
      <c r="T34" s="4">
        <v>281.07549999999998</v>
      </c>
      <c r="U34" s="4">
        <v>10575.9899</v>
      </c>
      <c r="V34" s="4">
        <v>2327.011</v>
      </c>
      <c r="W34" s="4">
        <v>8248.9789000000001</v>
      </c>
      <c r="X34" s="4">
        <v>714.44730000000004</v>
      </c>
      <c r="Y34" s="4">
        <v>0.51280000000000003</v>
      </c>
      <c r="Z34" s="4">
        <v>713.93439999999998</v>
      </c>
      <c r="AA34" s="4">
        <v>-1936.2557999999999</v>
      </c>
      <c r="AB34" s="4">
        <v>-1936.2557999999999</v>
      </c>
      <c r="AC34" s="4">
        <v>17.5501</v>
      </c>
    </row>
    <row r="35" spans="1:29" x14ac:dyDescent="0.2">
      <c r="A35" s="3">
        <v>40422</v>
      </c>
      <c r="B35" s="4">
        <v>14899.4663</v>
      </c>
      <c r="C35" s="4">
        <v>601.76760000000002</v>
      </c>
      <c r="D35" s="4">
        <v>2219.3613999999998</v>
      </c>
      <c r="E35" s="4">
        <v>2.1682999999999999</v>
      </c>
      <c r="F35" s="4">
        <v>2217.1931</v>
      </c>
      <c r="G35" s="5">
        <v>10008.6898</v>
      </c>
      <c r="H35" s="4">
        <v>10008.6898</v>
      </c>
      <c r="I35" s="4">
        <v>0</v>
      </c>
      <c r="J35" s="5">
        <v>1944.1966</v>
      </c>
      <c r="K35" s="4">
        <v>102.4666</v>
      </c>
      <c r="L35" s="4">
        <v>1841.73</v>
      </c>
      <c r="M35" s="4">
        <v>121.0976</v>
      </c>
      <c r="N35" s="4">
        <v>121.0976</v>
      </c>
      <c r="O35" s="4">
        <v>4.3532999999999999</v>
      </c>
      <c r="P35" s="4">
        <v>-199.19319999999999</v>
      </c>
      <c r="Q35" s="4">
        <v>15098.6595</v>
      </c>
      <c r="R35" s="4">
        <v>6691.8945000000003</v>
      </c>
      <c r="S35" s="4">
        <v>6438.6824999999999</v>
      </c>
      <c r="T35" s="4">
        <v>253.21209999999999</v>
      </c>
      <c r="U35" s="4">
        <v>10476.819299999999</v>
      </c>
      <c r="V35" s="4">
        <v>2713.3771000000002</v>
      </c>
      <c r="W35" s="4">
        <v>7763.4422000000004</v>
      </c>
      <c r="X35" s="4">
        <v>675.05619999999999</v>
      </c>
      <c r="Y35" s="4">
        <v>4.65E-2</v>
      </c>
      <c r="Z35" s="4">
        <v>675.00969999999995</v>
      </c>
      <c r="AA35" s="4">
        <v>-2765.8928000000001</v>
      </c>
      <c r="AB35" s="4">
        <v>-2765.8928000000001</v>
      </c>
      <c r="AC35" s="4">
        <v>20.782299999999999</v>
      </c>
    </row>
    <row r="36" spans="1:29" x14ac:dyDescent="0.2">
      <c r="A36" s="3">
        <v>40513</v>
      </c>
      <c r="B36" s="4">
        <v>15045.355</v>
      </c>
      <c r="C36" s="4">
        <v>575.39239999999995</v>
      </c>
      <c r="D36" s="4">
        <v>2937.2797</v>
      </c>
      <c r="E36" s="4">
        <v>26.9559</v>
      </c>
      <c r="F36" s="4">
        <v>2910.3238000000001</v>
      </c>
      <c r="G36" s="5">
        <v>9521.3246999999992</v>
      </c>
      <c r="H36" s="4">
        <v>9521.3246999999992</v>
      </c>
      <c r="I36" s="4">
        <v>0</v>
      </c>
      <c r="J36" s="5">
        <v>1889.6104</v>
      </c>
      <c r="K36" s="4">
        <v>16.540199999999999</v>
      </c>
      <c r="L36" s="4">
        <v>1873.0702000000001</v>
      </c>
      <c r="M36" s="4">
        <v>116.5712</v>
      </c>
      <c r="N36" s="4">
        <v>116.5712</v>
      </c>
      <c r="O36" s="4">
        <v>5.1765999999999996</v>
      </c>
      <c r="P36" s="4">
        <v>-201.351</v>
      </c>
      <c r="Q36" s="4">
        <v>15246.706</v>
      </c>
      <c r="R36" s="4">
        <v>8935.6861000000008</v>
      </c>
      <c r="S36" s="4">
        <v>8053.2766000000001</v>
      </c>
      <c r="T36" s="4">
        <v>882.40949999999998</v>
      </c>
      <c r="U36" s="4">
        <v>9085.9495999999999</v>
      </c>
      <c r="V36" s="4">
        <v>1664.4376999999999</v>
      </c>
      <c r="W36" s="4">
        <v>7421.5119000000004</v>
      </c>
      <c r="X36" s="4">
        <v>651.43140000000005</v>
      </c>
      <c r="Y36" s="4">
        <v>1.3424</v>
      </c>
      <c r="Z36" s="4">
        <v>650.08889999999997</v>
      </c>
      <c r="AA36" s="4">
        <v>-3449.1457</v>
      </c>
      <c r="AB36" s="4">
        <v>-3449.1457</v>
      </c>
      <c r="AC36" s="4">
        <v>22.784600000000001</v>
      </c>
    </row>
    <row r="37" spans="1:29" x14ac:dyDescent="0.2">
      <c r="A37" s="3">
        <v>40603</v>
      </c>
      <c r="B37" s="4">
        <v>17208.804599999999</v>
      </c>
      <c r="C37" s="4">
        <v>609.75170000000003</v>
      </c>
      <c r="D37" s="4">
        <v>3304.5021999999999</v>
      </c>
      <c r="E37" s="4">
        <v>37.385599999999997</v>
      </c>
      <c r="F37" s="4">
        <v>3267.1165999999998</v>
      </c>
      <c r="G37" s="5">
        <v>11257.3289</v>
      </c>
      <c r="H37" s="4">
        <v>11257.3289</v>
      </c>
      <c r="I37" s="4">
        <v>0</v>
      </c>
      <c r="J37" s="5">
        <v>1911.5404000000001</v>
      </c>
      <c r="K37" s="4">
        <v>9.7781000000000002</v>
      </c>
      <c r="L37" s="4">
        <v>1901.7623000000001</v>
      </c>
      <c r="M37" s="4">
        <v>120.9062</v>
      </c>
      <c r="N37" s="4">
        <v>120.9062</v>
      </c>
      <c r="O37" s="4">
        <v>4.7751999999999999</v>
      </c>
      <c r="P37" s="4">
        <v>-170.613</v>
      </c>
      <c r="Q37" s="4">
        <v>17379.417600000001</v>
      </c>
      <c r="R37" s="4">
        <v>8359.4575000000004</v>
      </c>
      <c r="S37" s="4">
        <v>7914.4700999999995</v>
      </c>
      <c r="T37" s="4">
        <v>444.98739999999998</v>
      </c>
      <c r="U37" s="4">
        <v>11204.2268</v>
      </c>
      <c r="V37" s="4">
        <v>2916.6057999999998</v>
      </c>
      <c r="W37" s="4">
        <v>8287.6208999999999</v>
      </c>
      <c r="X37" s="4">
        <v>689.18</v>
      </c>
      <c r="Y37" s="4">
        <v>3.2214999999999998</v>
      </c>
      <c r="Z37" s="4">
        <v>685.95849999999996</v>
      </c>
      <c r="AA37" s="4">
        <v>-2885.7505999999998</v>
      </c>
      <c r="AB37" s="4">
        <v>-2885.7505999999998</v>
      </c>
      <c r="AC37" s="4">
        <v>12.304</v>
      </c>
    </row>
    <row r="38" spans="1:29" x14ac:dyDescent="0.2">
      <c r="A38" s="3">
        <v>40695</v>
      </c>
      <c r="B38" s="4">
        <v>18412.8485</v>
      </c>
      <c r="C38" s="4">
        <v>602.0095</v>
      </c>
      <c r="D38" s="4">
        <v>3418.7730000000001</v>
      </c>
      <c r="E38" s="4">
        <v>97.200699999999998</v>
      </c>
      <c r="F38" s="4">
        <v>3321.5722000000001</v>
      </c>
      <c r="G38" s="5">
        <v>12402.620999999999</v>
      </c>
      <c r="H38" s="4">
        <v>12402.620999999999</v>
      </c>
      <c r="I38" s="4">
        <v>0</v>
      </c>
      <c r="J38" s="5">
        <v>1865.5847000000001</v>
      </c>
      <c r="K38" s="4">
        <v>45.802100000000003</v>
      </c>
      <c r="L38" s="4">
        <v>1819.7827</v>
      </c>
      <c r="M38" s="4">
        <v>118.4563</v>
      </c>
      <c r="N38" s="4">
        <v>118.4563</v>
      </c>
      <c r="O38" s="4">
        <v>5.4040999999999997</v>
      </c>
      <c r="P38" s="4">
        <v>-132.24379999999999</v>
      </c>
      <c r="Q38" s="4">
        <v>18545.092199999999</v>
      </c>
      <c r="R38" s="4">
        <v>7718.3059000000003</v>
      </c>
      <c r="S38" s="4">
        <v>7267.7359999999999</v>
      </c>
      <c r="T38" s="4">
        <v>450.56990000000002</v>
      </c>
      <c r="U38" s="4">
        <v>13267.525600000001</v>
      </c>
      <c r="V38" s="4">
        <v>3446.81</v>
      </c>
      <c r="W38" s="4">
        <v>9820.7155000000002</v>
      </c>
      <c r="X38" s="4">
        <v>680.66150000000005</v>
      </c>
      <c r="Y38" s="4">
        <v>2.3654999999999999</v>
      </c>
      <c r="Z38" s="4">
        <v>678.29610000000002</v>
      </c>
      <c r="AA38" s="4">
        <v>-3135.8656999999998</v>
      </c>
      <c r="AB38" s="4">
        <v>-3135.8656999999998</v>
      </c>
      <c r="AC38" s="4">
        <v>14.4649</v>
      </c>
    </row>
    <row r="39" spans="1:29" x14ac:dyDescent="0.2">
      <c r="A39" s="3">
        <v>40787</v>
      </c>
      <c r="B39" s="4">
        <v>21477.537700000001</v>
      </c>
      <c r="C39" s="4">
        <v>642.94290000000001</v>
      </c>
      <c r="D39" s="4">
        <v>3690.0475000000001</v>
      </c>
      <c r="E39" s="4">
        <v>88.302999999999997</v>
      </c>
      <c r="F39" s="4">
        <v>3601.7444999999998</v>
      </c>
      <c r="G39" s="5">
        <v>15157.1157</v>
      </c>
      <c r="H39" s="4">
        <v>15157.1157</v>
      </c>
      <c r="I39" s="4">
        <v>0</v>
      </c>
      <c r="J39" s="5">
        <v>1850.7998</v>
      </c>
      <c r="K39" s="4">
        <v>2.7825000000000002</v>
      </c>
      <c r="L39" s="4">
        <v>1848.0173</v>
      </c>
      <c r="M39" s="4">
        <v>128.6797</v>
      </c>
      <c r="N39" s="4">
        <v>128.6797</v>
      </c>
      <c r="O39" s="4">
        <v>7.9522000000000004</v>
      </c>
      <c r="P39" s="4">
        <v>-472.22430000000003</v>
      </c>
      <c r="Q39" s="4">
        <v>21949.761999999999</v>
      </c>
      <c r="R39" s="4">
        <v>8381.7021000000004</v>
      </c>
      <c r="S39" s="4">
        <v>7994.2988999999998</v>
      </c>
      <c r="T39" s="4">
        <v>387.4033</v>
      </c>
      <c r="U39" s="4">
        <v>14927.4355</v>
      </c>
      <c r="V39" s="4">
        <v>3754.1658000000002</v>
      </c>
      <c r="W39" s="4">
        <v>11173.269700000001</v>
      </c>
      <c r="X39" s="4">
        <v>721.04169999999999</v>
      </c>
      <c r="Y39" s="4">
        <v>1.0347</v>
      </c>
      <c r="Z39" s="4">
        <v>720.00699999999995</v>
      </c>
      <c r="AA39" s="4">
        <v>-2101.8613</v>
      </c>
      <c r="AB39" s="4">
        <v>-2101.8613</v>
      </c>
      <c r="AC39" s="4">
        <v>21.443899999999999</v>
      </c>
    </row>
    <row r="40" spans="1:29" x14ac:dyDescent="0.2">
      <c r="A40" s="3">
        <v>40878</v>
      </c>
      <c r="B40" s="4">
        <v>24872.164199999999</v>
      </c>
      <c r="C40" s="4">
        <v>639.61320000000001</v>
      </c>
      <c r="D40" s="4">
        <v>4751.0551999999998</v>
      </c>
      <c r="E40" s="4">
        <v>407.44130000000001</v>
      </c>
      <c r="F40" s="4">
        <v>4343.6139000000003</v>
      </c>
      <c r="G40" s="5">
        <v>16481.6973</v>
      </c>
      <c r="H40" s="4">
        <v>16481.6973</v>
      </c>
      <c r="I40" s="4">
        <v>0</v>
      </c>
      <c r="J40" s="5">
        <v>2863.0553</v>
      </c>
      <c r="K40" s="4">
        <v>969.851</v>
      </c>
      <c r="L40" s="4">
        <v>1893.2041999999999</v>
      </c>
      <c r="M40" s="4">
        <v>129.68010000000001</v>
      </c>
      <c r="N40" s="4">
        <v>129.68010000000001</v>
      </c>
      <c r="O40" s="4">
        <v>7.0631000000000004</v>
      </c>
      <c r="P40" s="4">
        <v>-400.74590000000001</v>
      </c>
      <c r="Q40" s="4">
        <v>25272.91</v>
      </c>
      <c r="R40" s="4">
        <v>13306.391600000001</v>
      </c>
      <c r="S40" s="4">
        <v>12305.029699999999</v>
      </c>
      <c r="T40" s="4">
        <v>1001.362</v>
      </c>
      <c r="U40" s="4">
        <v>13562.749599999999</v>
      </c>
      <c r="V40" s="4">
        <v>985.13890000000004</v>
      </c>
      <c r="W40" s="4">
        <v>12577.610699999999</v>
      </c>
      <c r="X40" s="4">
        <v>726.84249999999997</v>
      </c>
      <c r="Y40" s="4">
        <v>7.0970000000000004</v>
      </c>
      <c r="Z40" s="4">
        <v>719.74549999999999</v>
      </c>
      <c r="AA40" s="4">
        <v>-2353.8730999999998</v>
      </c>
      <c r="AB40" s="4">
        <v>-2353.8730999999998</v>
      </c>
      <c r="AC40" s="4">
        <v>30.799399999999999</v>
      </c>
    </row>
    <row r="41" spans="1:29" x14ac:dyDescent="0.2">
      <c r="A41" s="3">
        <v>40969</v>
      </c>
      <c r="B41" s="4">
        <v>21544.8923</v>
      </c>
      <c r="C41" s="4">
        <v>606.63070000000005</v>
      </c>
      <c r="D41" s="4">
        <v>3069.8081999999999</v>
      </c>
      <c r="E41" s="4">
        <v>154.0959</v>
      </c>
      <c r="F41" s="4">
        <v>2915.7123000000001</v>
      </c>
      <c r="G41" s="5">
        <v>15686.017400000001</v>
      </c>
      <c r="H41" s="4">
        <v>15686.017400000001</v>
      </c>
      <c r="I41" s="4">
        <v>0</v>
      </c>
      <c r="J41" s="5">
        <v>2053.9238</v>
      </c>
      <c r="K41" s="4">
        <v>121.1905</v>
      </c>
      <c r="L41" s="4">
        <v>1932.7333000000001</v>
      </c>
      <c r="M41" s="4">
        <v>122.08159999999999</v>
      </c>
      <c r="N41" s="4">
        <v>122.08159999999999</v>
      </c>
      <c r="O41" s="4">
        <v>6.4306999999999999</v>
      </c>
      <c r="P41" s="4">
        <v>-242.13939999999999</v>
      </c>
      <c r="Q41" s="4">
        <v>21787.0317</v>
      </c>
      <c r="R41" s="4">
        <v>8502.6826000000001</v>
      </c>
      <c r="S41" s="4">
        <v>8495.7639999999992</v>
      </c>
      <c r="T41" s="4">
        <v>6.9185999999999996</v>
      </c>
      <c r="U41" s="4">
        <v>16066.4305</v>
      </c>
      <c r="V41" s="4">
        <v>3483.4677999999999</v>
      </c>
      <c r="W41" s="4">
        <v>12582.9627</v>
      </c>
      <c r="X41" s="4">
        <v>690.7355</v>
      </c>
      <c r="Y41" s="4">
        <v>4.593</v>
      </c>
      <c r="Z41" s="4">
        <v>686.14260000000002</v>
      </c>
      <c r="AA41" s="4">
        <v>-3494.1988000000001</v>
      </c>
      <c r="AB41" s="4">
        <v>-3494.1988000000001</v>
      </c>
      <c r="AC41" s="4">
        <v>21.381900000000002</v>
      </c>
    </row>
    <row r="42" spans="1:29" x14ac:dyDescent="0.2">
      <c r="A42" s="3">
        <v>41061</v>
      </c>
      <c r="B42" s="4">
        <v>22556.7366</v>
      </c>
      <c r="C42" s="4">
        <v>614.28240000000005</v>
      </c>
      <c r="D42" s="4">
        <v>2933.8125</v>
      </c>
      <c r="E42" s="4">
        <v>54.082799999999999</v>
      </c>
      <c r="F42" s="4">
        <v>2879.7298000000001</v>
      </c>
      <c r="G42" s="5">
        <v>16995.7785</v>
      </c>
      <c r="H42" s="4">
        <v>16995.7785</v>
      </c>
      <c r="I42" s="4">
        <v>0</v>
      </c>
      <c r="J42" s="5">
        <v>1879.1431</v>
      </c>
      <c r="K42" s="4">
        <v>43.775399999999998</v>
      </c>
      <c r="L42" s="4">
        <v>1835.3677</v>
      </c>
      <c r="M42" s="4">
        <v>126.3827</v>
      </c>
      <c r="N42" s="4">
        <v>126.3827</v>
      </c>
      <c r="O42" s="4">
        <v>7.3373999999999997</v>
      </c>
      <c r="P42" s="4">
        <v>-377.10289999999998</v>
      </c>
      <c r="Q42" s="4">
        <v>22933.839400000001</v>
      </c>
      <c r="R42" s="4">
        <v>10384.161899999999</v>
      </c>
      <c r="S42" s="4">
        <v>9992.0768000000007</v>
      </c>
      <c r="T42" s="4">
        <v>392.08519999999999</v>
      </c>
      <c r="U42" s="4">
        <v>15194.5553</v>
      </c>
      <c r="V42" s="4">
        <v>2341.9564</v>
      </c>
      <c r="W42" s="4">
        <v>12852.598900000001</v>
      </c>
      <c r="X42" s="4">
        <v>705.55899999999997</v>
      </c>
      <c r="Y42" s="4">
        <v>6.6247999999999996</v>
      </c>
      <c r="Z42" s="4">
        <v>698.93420000000003</v>
      </c>
      <c r="AA42" s="4">
        <v>-3373.7489999999998</v>
      </c>
      <c r="AB42" s="4">
        <v>-3373.7489999999998</v>
      </c>
      <c r="AC42" s="4">
        <v>23.312200000000001</v>
      </c>
    </row>
    <row r="43" spans="1:29" x14ac:dyDescent="0.2">
      <c r="A43" s="3">
        <v>41153</v>
      </c>
      <c r="B43" s="4">
        <v>20872.376400000001</v>
      </c>
      <c r="C43" s="4">
        <v>576.8963</v>
      </c>
      <c r="D43" s="4">
        <v>2094.5929000000001</v>
      </c>
      <c r="E43" s="4">
        <v>115.2885</v>
      </c>
      <c r="F43" s="4">
        <v>1979.3044</v>
      </c>
      <c r="G43" s="5">
        <v>16178.382600000001</v>
      </c>
      <c r="H43" s="4">
        <v>16178.382600000001</v>
      </c>
      <c r="I43" s="4">
        <v>0</v>
      </c>
      <c r="J43" s="5">
        <v>1898.8115</v>
      </c>
      <c r="K43" s="4">
        <v>46.731400000000001</v>
      </c>
      <c r="L43" s="4">
        <v>1852.0800999999999</v>
      </c>
      <c r="M43" s="4">
        <v>117.139</v>
      </c>
      <c r="N43" s="4">
        <v>117.139</v>
      </c>
      <c r="O43" s="4">
        <v>6.5540000000000003</v>
      </c>
      <c r="P43" s="4">
        <v>-426.41219999999998</v>
      </c>
      <c r="Q43" s="4">
        <v>21298.788499999999</v>
      </c>
      <c r="R43" s="4">
        <v>9792.7060999999994</v>
      </c>
      <c r="S43" s="4">
        <v>9433.5166000000008</v>
      </c>
      <c r="T43" s="4">
        <v>359.18950000000001</v>
      </c>
      <c r="U43" s="4">
        <v>15369.499900000001</v>
      </c>
      <c r="V43" s="4">
        <v>2152.9679999999998</v>
      </c>
      <c r="W43" s="4">
        <v>13216.5319</v>
      </c>
      <c r="X43" s="4">
        <v>662.74080000000004</v>
      </c>
      <c r="Y43" s="4">
        <v>2.3761000000000001</v>
      </c>
      <c r="Z43" s="4">
        <v>660.36469999999997</v>
      </c>
      <c r="AA43" s="4">
        <v>-4552.5308000000005</v>
      </c>
      <c r="AB43" s="4">
        <v>-4552.5308000000005</v>
      </c>
      <c r="AC43" s="4">
        <v>26.372599999999998</v>
      </c>
    </row>
    <row r="44" spans="1:29" x14ac:dyDescent="0.2">
      <c r="A44" s="3">
        <v>41244</v>
      </c>
      <c r="B44" s="4">
        <v>23051.118399999999</v>
      </c>
      <c r="C44" s="4">
        <v>586.13840000000005</v>
      </c>
      <c r="D44" s="4">
        <v>2525.4333000000001</v>
      </c>
      <c r="E44" s="4">
        <v>10.238799999999999</v>
      </c>
      <c r="F44" s="4">
        <v>2515.1945999999998</v>
      </c>
      <c r="G44" s="5">
        <v>16783.042300000001</v>
      </c>
      <c r="H44" s="4">
        <v>16783.042300000001</v>
      </c>
      <c r="I44" s="4">
        <v>0</v>
      </c>
      <c r="J44" s="5">
        <v>3027.7392</v>
      </c>
      <c r="K44" s="4">
        <v>1135.8255999999999</v>
      </c>
      <c r="L44" s="4">
        <v>1891.9136000000001</v>
      </c>
      <c r="M44" s="4">
        <v>119.0549</v>
      </c>
      <c r="N44" s="4">
        <v>119.0549</v>
      </c>
      <c r="O44" s="4">
        <v>9.7103999999999999</v>
      </c>
      <c r="P44" s="4">
        <v>-333.08890000000002</v>
      </c>
      <c r="Q44" s="4">
        <v>23384.207299999998</v>
      </c>
      <c r="R44" s="4">
        <v>13939.4743</v>
      </c>
      <c r="S44" s="4">
        <v>13046.170400000001</v>
      </c>
      <c r="T44" s="4">
        <v>893.3039</v>
      </c>
      <c r="U44" s="4">
        <v>13208.1167</v>
      </c>
      <c r="V44" s="4">
        <v>0</v>
      </c>
      <c r="W44" s="4">
        <v>13208.1167</v>
      </c>
      <c r="X44" s="4">
        <v>682.76409999999998</v>
      </c>
      <c r="Y44" s="4">
        <v>13.2531</v>
      </c>
      <c r="Z44" s="4">
        <v>669.51099999999997</v>
      </c>
      <c r="AA44" s="4">
        <v>-4479.2494999999999</v>
      </c>
      <c r="AB44" s="4">
        <v>-4479.2494999999999</v>
      </c>
      <c r="AC44" s="4">
        <v>33.101700000000001</v>
      </c>
    </row>
    <row r="45" spans="1:29" x14ac:dyDescent="0.2">
      <c r="A45" s="3">
        <v>41334</v>
      </c>
      <c r="B45" s="4">
        <v>20858.097300000001</v>
      </c>
      <c r="C45" s="4">
        <v>564.08439999999996</v>
      </c>
      <c r="D45" s="4">
        <v>1924.8255999999999</v>
      </c>
      <c r="E45" s="4">
        <v>16.096900000000002</v>
      </c>
      <c r="F45" s="4">
        <v>1908.7288000000001</v>
      </c>
      <c r="G45" s="5">
        <v>16278.823899999999</v>
      </c>
      <c r="H45" s="4">
        <v>16278.823899999999</v>
      </c>
      <c r="I45" s="4">
        <v>0</v>
      </c>
      <c r="J45" s="5">
        <v>1968.2068999999999</v>
      </c>
      <c r="K45" s="4">
        <v>54.459499999999998</v>
      </c>
      <c r="L45" s="4">
        <v>1913.7473</v>
      </c>
      <c r="M45" s="4">
        <v>116.77379999999999</v>
      </c>
      <c r="N45" s="4">
        <v>116.77379999999999</v>
      </c>
      <c r="O45" s="4">
        <v>5.3826000000000001</v>
      </c>
      <c r="P45" s="4">
        <v>-283.34809999999999</v>
      </c>
      <c r="Q45" s="4">
        <v>21141.445400000001</v>
      </c>
      <c r="R45" s="4">
        <v>10393.700199999999</v>
      </c>
      <c r="S45" s="4">
        <v>10117.095300000001</v>
      </c>
      <c r="T45" s="4">
        <v>276.60489999999999</v>
      </c>
      <c r="U45" s="4">
        <v>15137.979600000001</v>
      </c>
      <c r="V45" s="4">
        <v>2274.5446999999999</v>
      </c>
      <c r="W45" s="4">
        <v>12863.4349</v>
      </c>
      <c r="X45" s="4">
        <v>656.20330000000001</v>
      </c>
      <c r="Y45" s="4">
        <v>8.6443999999999992</v>
      </c>
      <c r="Z45" s="4">
        <v>647.55889999999999</v>
      </c>
      <c r="AA45" s="4">
        <v>-5064.0636000000004</v>
      </c>
      <c r="AB45" s="4">
        <v>-5064.0636000000004</v>
      </c>
      <c r="AC45" s="4">
        <v>17.625900000000001</v>
      </c>
    </row>
    <row r="46" spans="1:29" x14ac:dyDescent="0.2">
      <c r="A46" s="3">
        <v>41426</v>
      </c>
      <c r="B46" s="4">
        <v>22823.061699999998</v>
      </c>
      <c r="C46" s="4">
        <v>564.49260000000004</v>
      </c>
      <c r="D46" s="4">
        <v>2874.2168999999999</v>
      </c>
      <c r="E46" s="4">
        <v>10.8729</v>
      </c>
      <c r="F46" s="4">
        <v>2863.3440000000001</v>
      </c>
      <c r="G46" s="5">
        <v>17160.0062</v>
      </c>
      <c r="H46" s="4">
        <v>17160.0062</v>
      </c>
      <c r="I46" s="4">
        <v>0</v>
      </c>
      <c r="J46" s="5">
        <v>2091.8861999999999</v>
      </c>
      <c r="K46" s="4">
        <v>311.60340000000002</v>
      </c>
      <c r="L46" s="4">
        <v>1780.2828</v>
      </c>
      <c r="M46" s="4">
        <v>124.6397</v>
      </c>
      <c r="N46" s="4">
        <v>124.6397</v>
      </c>
      <c r="O46" s="4">
        <v>7.8201000000000001</v>
      </c>
      <c r="P46" s="4">
        <v>-431.77949999999998</v>
      </c>
      <c r="Q46" s="4">
        <v>23254.841199999999</v>
      </c>
      <c r="R46" s="4">
        <v>11227.819600000001</v>
      </c>
      <c r="S46" s="4">
        <v>10704.4115</v>
      </c>
      <c r="T46" s="4">
        <v>523.40809999999999</v>
      </c>
      <c r="U46" s="4">
        <v>15659.1636</v>
      </c>
      <c r="V46" s="4">
        <v>2519.2215999999999</v>
      </c>
      <c r="W46" s="4">
        <v>13139.941999999999</v>
      </c>
      <c r="X46" s="4">
        <v>692.72439999999995</v>
      </c>
      <c r="Y46" s="4">
        <v>3.7366999999999999</v>
      </c>
      <c r="Z46" s="4">
        <v>688.98770000000002</v>
      </c>
      <c r="AA46" s="4">
        <v>-4337.5501999999997</v>
      </c>
      <c r="AB46" s="4">
        <v>-4337.5501999999997</v>
      </c>
      <c r="AC46" s="4">
        <v>12.6837</v>
      </c>
    </row>
    <row r="47" spans="1:29" x14ac:dyDescent="0.2">
      <c r="A47" s="3">
        <v>41518</v>
      </c>
      <c r="B47" s="4">
        <v>23302.517199999998</v>
      </c>
      <c r="C47" s="4">
        <v>575.16470000000004</v>
      </c>
      <c r="D47" s="4">
        <v>3160.7042000000001</v>
      </c>
      <c r="E47" s="4">
        <v>8.9673999999999996</v>
      </c>
      <c r="F47" s="4">
        <v>3151.7368000000001</v>
      </c>
      <c r="G47" s="5">
        <v>17533.4238</v>
      </c>
      <c r="H47" s="4">
        <v>17533.4238</v>
      </c>
      <c r="I47" s="4">
        <v>0</v>
      </c>
      <c r="J47" s="5">
        <v>1900.8063</v>
      </c>
      <c r="K47" s="4">
        <v>83.760999999999996</v>
      </c>
      <c r="L47" s="4">
        <v>1817.0453</v>
      </c>
      <c r="M47" s="4">
        <v>125.0574</v>
      </c>
      <c r="N47" s="4">
        <v>125.0574</v>
      </c>
      <c r="O47" s="4">
        <v>7.3608000000000002</v>
      </c>
      <c r="P47" s="4">
        <v>-489.04199999999997</v>
      </c>
      <c r="Q47" s="4">
        <v>23791.559300000001</v>
      </c>
      <c r="R47" s="4">
        <v>11821.3516</v>
      </c>
      <c r="S47" s="4">
        <v>10992.636399999999</v>
      </c>
      <c r="T47" s="4">
        <v>828.71519999999998</v>
      </c>
      <c r="U47" s="4">
        <v>15534.0854</v>
      </c>
      <c r="V47" s="4">
        <v>2468.2265000000002</v>
      </c>
      <c r="W47" s="4">
        <v>13065.858899999999</v>
      </c>
      <c r="X47" s="4">
        <v>701.26279999999997</v>
      </c>
      <c r="Y47" s="4">
        <v>0.3049</v>
      </c>
      <c r="Z47" s="4">
        <v>700.9579</v>
      </c>
      <c r="AA47" s="4">
        <v>-4286.1302999999998</v>
      </c>
      <c r="AB47" s="4">
        <v>-4286.1302999999998</v>
      </c>
      <c r="AC47" s="4">
        <v>20.989799999999999</v>
      </c>
    </row>
    <row r="48" spans="1:29" x14ac:dyDescent="0.2">
      <c r="A48" s="3">
        <v>41609</v>
      </c>
      <c r="B48" s="4">
        <v>23523.3609</v>
      </c>
      <c r="C48" s="4">
        <v>605.85609999999997</v>
      </c>
      <c r="D48" s="4">
        <v>2703.5915</v>
      </c>
      <c r="E48" s="4">
        <v>10.4459</v>
      </c>
      <c r="F48" s="4">
        <v>2693.1455000000001</v>
      </c>
      <c r="G48" s="5">
        <v>18144.375800000002</v>
      </c>
      <c r="H48" s="4">
        <v>18144.375800000002</v>
      </c>
      <c r="I48" s="4">
        <v>0</v>
      </c>
      <c r="J48" s="5">
        <v>1922.5851</v>
      </c>
      <c r="K48" s="4">
        <v>69.397199999999998</v>
      </c>
      <c r="L48" s="4">
        <v>1853.1880000000001</v>
      </c>
      <c r="M48" s="4">
        <v>130.357</v>
      </c>
      <c r="N48" s="4">
        <v>130.357</v>
      </c>
      <c r="O48" s="4">
        <v>16.595400000000001</v>
      </c>
      <c r="P48" s="4">
        <v>-537.30470000000003</v>
      </c>
      <c r="Q48" s="4">
        <v>24060.6656</v>
      </c>
      <c r="R48" s="4">
        <v>13554.9432</v>
      </c>
      <c r="S48" s="4">
        <v>12592.758900000001</v>
      </c>
      <c r="T48" s="4">
        <v>962.18430000000001</v>
      </c>
      <c r="U48" s="4">
        <v>13551.9246</v>
      </c>
      <c r="V48" s="4">
        <v>925.42259999999999</v>
      </c>
      <c r="W48" s="4">
        <v>12626.502</v>
      </c>
      <c r="X48" s="4">
        <v>735.24630000000002</v>
      </c>
      <c r="Y48" s="4">
        <v>4.6296999999999997</v>
      </c>
      <c r="Z48" s="4">
        <v>730.61659999999995</v>
      </c>
      <c r="AA48" s="4">
        <v>-3820.3083000000001</v>
      </c>
      <c r="AB48" s="4">
        <v>-3820.3083000000001</v>
      </c>
      <c r="AC48" s="4">
        <v>38.859699999999997</v>
      </c>
    </row>
    <row r="49" spans="1:29" x14ac:dyDescent="0.2">
      <c r="A49" s="3">
        <v>41699</v>
      </c>
      <c r="B49" s="4">
        <v>24601.921999999999</v>
      </c>
      <c r="C49" s="4">
        <v>639.56200000000001</v>
      </c>
      <c r="D49" s="4">
        <v>3081.2795000000001</v>
      </c>
      <c r="E49" s="4">
        <v>14.944100000000001</v>
      </c>
      <c r="F49" s="4">
        <v>3066.3353999999999</v>
      </c>
      <c r="G49" s="5">
        <v>18776.968499999999</v>
      </c>
      <c r="H49" s="4">
        <v>18776.968499999999</v>
      </c>
      <c r="I49" s="4">
        <v>0</v>
      </c>
      <c r="J49" s="5">
        <v>1952.3101999999999</v>
      </c>
      <c r="K49" s="4">
        <v>57.226700000000001</v>
      </c>
      <c r="L49" s="4">
        <v>1895.0835999999999</v>
      </c>
      <c r="M49" s="4">
        <v>137.1498</v>
      </c>
      <c r="N49" s="4">
        <v>137.1498</v>
      </c>
      <c r="O49" s="4">
        <v>14.651999999999999</v>
      </c>
      <c r="P49" s="4">
        <v>-689.87990000000002</v>
      </c>
      <c r="Q49" s="4">
        <v>25291.801899999999</v>
      </c>
      <c r="R49" s="4">
        <v>12757.7392</v>
      </c>
      <c r="S49" s="4">
        <v>11873.6358</v>
      </c>
      <c r="T49" s="4">
        <v>884.10329999999999</v>
      </c>
      <c r="U49" s="4">
        <v>14756.019399999999</v>
      </c>
      <c r="V49" s="4">
        <v>2090.5153</v>
      </c>
      <c r="W49" s="4">
        <v>12665.5041</v>
      </c>
      <c r="X49" s="4">
        <v>769.68320000000006</v>
      </c>
      <c r="Y49" s="4">
        <v>2.1779999999999999</v>
      </c>
      <c r="Z49" s="4">
        <v>767.50530000000003</v>
      </c>
      <c r="AA49" s="4">
        <v>-3026.2307999999998</v>
      </c>
      <c r="AB49" s="4">
        <v>-3026.2307999999998</v>
      </c>
      <c r="AC49" s="4">
        <v>34.590899999999998</v>
      </c>
    </row>
    <row r="50" spans="1:29" x14ac:dyDescent="0.2">
      <c r="A50" s="3">
        <v>41791</v>
      </c>
      <c r="B50" s="4">
        <v>24571.6427</v>
      </c>
      <c r="C50" s="4">
        <v>639.90769999999998</v>
      </c>
      <c r="D50" s="4">
        <v>2905.8454999999999</v>
      </c>
      <c r="E50" s="4">
        <v>10.682700000000001</v>
      </c>
      <c r="F50" s="4">
        <v>2895.1628000000001</v>
      </c>
      <c r="G50" s="5">
        <v>19046.2487</v>
      </c>
      <c r="H50" s="4">
        <v>19046.2487</v>
      </c>
      <c r="I50" s="4">
        <v>0</v>
      </c>
      <c r="J50" s="5">
        <v>1830.2673</v>
      </c>
      <c r="K50" s="4">
        <v>30.815300000000001</v>
      </c>
      <c r="L50" s="4">
        <v>1799.4519</v>
      </c>
      <c r="M50" s="4">
        <v>137.17349999999999</v>
      </c>
      <c r="N50" s="4">
        <v>137.17349999999999</v>
      </c>
      <c r="O50" s="4">
        <v>12.2</v>
      </c>
      <c r="P50" s="4">
        <v>-762.69560000000001</v>
      </c>
      <c r="Q50" s="4">
        <v>25334.338299999999</v>
      </c>
      <c r="R50" s="4">
        <v>12034.792100000001</v>
      </c>
      <c r="S50" s="4">
        <v>11030.087</v>
      </c>
      <c r="T50" s="4">
        <v>1004.7051</v>
      </c>
      <c r="U50" s="4">
        <v>15611.885</v>
      </c>
      <c r="V50" s="4">
        <v>3127.4022</v>
      </c>
      <c r="W50" s="4">
        <v>12484.4828</v>
      </c>
      <c r="X50" s="4">
        <v>770.77139999999997</v>
      </c>
      <c r="Y50" s="4">
        <v>2.4003999999999999</v>
      </c>
      <c r="Z50" s="4">
        <v>768.37099999999998</v>
      </c>
      <c r="AA50" s="4">
        <v>-3104.6657</v>
      </c>
      <c r="AB50" s="4">
        <v>-3104.6657</v>
      </c>
      <c r="AC50" s="4">
        <v>21.555399999999999</v>
      </c>
    </row>
    <row r="51" spans="1:29" x14ac:dyDescent="0.2">
      <c r="A51" s="3">
        <v>41883</v>
      </c>
      <c r="B51" s="4">
        <v>26110.484400000001</v>
      </c>
      <c r="C51" s="4">
        <v>670.41790000000003</v>
      </c>
      <c r="D51" s="4">
        <v>3407.1075000000001</v>
      </c>
      <c r="E51" s="4">
        <v>16.517299999999999</v>
      </c>
      <c r="F51" s="4">
        <v>3390.5902000000001</v>
      </c>
      <c r="G51" s="5">
        <v>20018.965400000001</v>
      </c>
      <c r="H51" s="4">
        <v>20018.965400000001</v>
      </c>
      <c r="I51" s="4">
        <v>0</v>
      </c>
      <c r="J51" s="5">
        <v>1851.1409000000001</v>
      </c>
      <c r="K51" s="4">
        <v>22.388200000000001</v>
      </c>
      <c r="L51" s="4">
        <v>1828.7527</v>
      </c>
      <c r="M51" s="4">
        <v>148.29140000000001</v>
      </c>
      <c r="N51" s="4">
        <v>148.29140000000001</v>
      </c>
      <c r="O51" s="4">
        <v>14.561299999999999</v>
      </c>
      <c r="P51" s="4">
        <v>-928.06690000000003</v>
      </c>
      <c r="Q51" s="4">
        <v>27038.551299999999</v>
      </c>
      <c r="R51" s="4">
        <v>12161.482599999999</v>
      </c>
      <c r="S51" s="4">
        <v>11166.819299999999</v>
      </c>
      <c r="T51" s="4">
        <v>994.66330000000005</v>
      </c>
      <c r="U51" s="4">
        <v>16079.9036</v>
      </c>
      <c r="V51" s="4">
        <v>3469.4585999999999</v>
      </c>
      <c r="W51" s="4">
        <v>12610.445</v>
      </c>
      <c r="X51" s="4">
        <v>803.55399999999997</v>
      </c>
      <c r="Y51" s="4">
        <v>1.1867000000000001</v>
      </c>
      <c r="Z51" s="4">
        <v>802.3673</v>
      </c>
      <c r="AA51" s="4">
        <v>-2035.3610000000001</v>
      </c>
      <c r="AB51" s="4">
        <v>-2035.3610000000001</v>
      </c>
      <c r="AC51" s="4">
        <v>28.972100000000001</v>
      </c>
    </row>
    <row r="52" spans="1:29" x14ac:dyDescent="0.2">
      <c r="A52" s="3">
        <v>41974</v>
      </c>
      <c r="B52" s="4">
        <v>25589.3243</v>
      </c>
      <c r="C52" s="4">
        <v>661.17399999999998</v>
      </c>
      <c r="D52" s="4">
        <v>3819.9005999999999</v>
      </c>
      <c r="E52" s="4">
        <v>103.6095</v>
      </c>
      <c r="F52" s="4">
        <v>3716.2910999999999</v>
      </c>
      <c r="G52" s="5">
        <v>20013.050299999999</v>
      </c>
      <c r="H52" s="4">
        <v>20013.050299999999</v>
      </c>
      <c r="I52" s="4">
        <v>0</v>
      </c>
      <c r="J52" s="5">
        <v>926.31799999999998</v>
      </c>
      <c r="K52" s="4">
        <v>80.282200000000003</v>
      </c>
      <c r="L52" s="4">
        <v>846.03579999999999</v>
      </c>
      <c r="M52" s="4">
        <v>148.8272</v>
      </c>
      <c r="N52" s="4">
        <v>148.8272</v>
      </c>
      <c r="O52" s="4">
        <v>20.054200000000002</v>
      </c>
      <c r="P52" s="4">
        <v>-979.15470000000005</v>
      </c>
      <c r="Q52" s="4">
        <v>26568.478999999999</v>
      </c>
      <c r="R52" s="4">
        <v>15395.7587</v>
      </c>
      <c r="S52" s="4">
        <v>13633.6108</v>
      </c>
      <c r="T52" s="4">
        <v>1762.1478999999999</v>
      </c>
      <c r="U52" s="4">
        <v>13866.722299999999</v>
      </c>
      <c r="V52" s="4">
        <v>998.66849999999999</v>
      </c>
      <c r="W52" s="4">
        <v>12868.0538</v>
      </c>
      <c r="X52" s="4">
        <v>802.11530000000005</v>
      </c>
      <c r="Y52" s="4">
        <v>8.2332999999999998</v>
      </c>
      <c r="Z52" s="4">
        <v>793.88199999999995</v>
      </c>
      <c r="AA52" s="4">
        <v>-3544.4744999999998</v>
      </c>
      <c r="AB52" s="4">
        <v>-3544.4744999999998</v>
      </c>
      <c r="AC52" s="4">
        <v>48.357199999999999</v>
      </c>
    </row>
    <row r="53" spans="1:29" x14ac:dyDescent="0.2">
      <c r="A53" s="3">
        <v>42064</v>
      </c>
      <c r="B53" s="4">
        <v>25153.547699999999</v>
      </c>
      <c r="C53" s="4">
        <v>650.23479999999995</v>
      </c>
      <c r="D53" s="4">
        <v>3430.8002000000001</v>
      </c>
      <c r="E53" s="4">
        <v>255.0197</v>
      </c>
      <c r="F53" s="4">
        <v>3175.7804999999998</v>
      </c>
      <c r="G53" s="5">
        <v>19965.111700000001</v>
      </c>
      <c r="H53" s="4">
        <v>19965.111700000001</v>
      </c>
      <c r="I53" s="4">
        <v>0</v>
      </c>
      <c r="J53" s="5">
        <v>934.72519999999997</v>
      </c>
      <c r="K53" s="4">
        <v>82.055599999999998</v>
      </c>
      <c r="L53" s="4">
        <v>852.66959999999995</v>
      </c>
      <c r="M53" s="4">
        <v>151.78530000000001</v>
      </c>
      <c r="N53" s="4">
        <v>151.78530000000001</v>
      </c>
      <c r="O53" s="4">
        <v>20.8904</v>
      </c>
      <c r="P53" s="4">
        <v>-1053.6569</v>
      </c>
      <c r="Q53" s="4">
        <v>26207.204699999998</v>
      </c>
      <c r="R53" s="4">
        <v>13990.8753</v>
      </c>
      <c r="S53" s="4">
        <v>12736.8447</v>
      </c>
      <c r="T53" s="4">
        <v>1254.0306</v>
      </c>
      <c r="U53" s="4">
        <v>15110.6134</v>
      </c>
      <c r="V53" s="4">
        <v>2458.4533000000001</v>
      </c>
      <c r="W53" s="4">
        <v>12652.160099999999</v>
      </c>
      <c r="X53" s="4">
        <v>782.70830000000001</v>
      </c>
      <c r="Y53" s="4">
        <v>0.38990000000000002</v>
      </c>
      <c r="Z53" s="4">
        <v>782.3184</v>
      </c>
      <c r="AA53" s="4">
        <v>-3734.6206999999999</v>
      </c>
      <c r="AB53" s="4">
        <v>-3734.6206999999999</v>
      </c>
      <c r="AC53" s="4">
        <v>57.628300000000003</v>
      </c>
    </row>
    <row r="54" spans="1:29" x14ac:dyDescent="0.2">
      <c r="A54" s="3">
        <v>42156</v>
      </c>
      <c r="B54" s="4">
        <v>25122.069899999999</v>
      </c>
      <c r="C54" s="4">
        <v>670.88720000000001</v>
      </c>
      <c r="D54" s="4">
        <v>3311.7460999999998</v>
      </c>
      <c r="E54" s="4">
        <v>384.49669999999998</v>
      </c>
      <c r="F54" s="4">
        <v>2927.2494000000002</v>
      </c>
      <c r="G54" s="5">
        <v>20235.3871</v>
      </c>
      <c r="H54" s="4">
        <v>20235.3871</v>
      </c>
      <c r="I54" s="4">
        <v>-6.1269</v>
      </c>
      <c r="J54" s="5">
        <v>736.7799</v>
      </c>
      <c r="K54" s="4">
        <v>9.8153000000000006</v>
      </c>
      <c r="L54" s="4">
        <v>726.96460000000002</v>
      </c>
      <c r="M54" s="4">
        <v>154.37049999999999</v>
      </c>
      <c r="N54" s="4">
        <v>154.37049999999999</v>
      </c>
      <c r="O54" s="4">
        <v>19.0261</v>
      </c>
      <c r="P54" s="4">
        <v>-886.726</v>
      </c>
      <c r="Q54" s="4">
        <v>26008.795900000001</v>
      </c>
      <c r="R54" s="4">
        <v>13301.1922</v>
      </c>
      <c r="S54" s="4">
        <v>12380.7405</v>
      </c>
      <c r="T54" s="4">
        <v>920.45169999999996</v>
      </c>
      <c r="U54" s="4">
        <v>15538.177600000001</v>
      </c>
      <c r="V54" s="4">
        <v>2435.9911000000002</v>
      </c>
      <c r="W54" s="4">
        <v>13102.186600000001</v>
      </c>
      <c r="X54" s="4">
        <v>805.66279999999995</v>
      </c>
      <c r="Y54" s="4">
        <v>2.9600000000000001E-2</v>
      </c>
      <c r="Z54" s="4">
        <v>805.63319999999999</v>
      </c>
      <c r="AA54" s="4">
        <v>-3689.9112</v>
      </c>
      <c r="AB54" s="4">
        <v>-3689.9112</v>
      </c>
      <c r="AC54" s="4">
        <v>53.674500000000002</v>
      </c>
    </row>
    <row r="55" spans="1:29" x14ac:dyDescent="0.2">
      <c r="A55" s="3">
        <v>42248</v>
      </c>
      <c r="B55" s="4">
        <v>27892.793799999999</v>
      </c>
      <c r="C55" s="4">
        <v>761.20759999999996</v>
      </c>
      <c r="D55" s="4">
        <v>3791.8726000000001</v>
      </c>
      <c r="E55" s="4">
        <v>433.32979999999998</v>
      </c>
      <c r="F55" s="4">
        <v>3358.5428000000002</v>
      </c>
      <c r="G55" s="5">
        <v>22392.640899999999</v>
      </c>
      <c r="H55" s="4">
        <v>22392.640899999999</v>
      </c>
      <c r="I55" s="4">
        <v>-8.8455999999999992</v>
      </c>
      <c r="J55" s="5">
        <v>761.2174</v>
      </c>
      <c r="K55" s="4">
        <v>17.991800000000001</v>
      </c>
      <c r="L55" s="4">
        <v>743.22550000000001</v>
      </c>
      <c r="M55" s="4">
        <v>171.34440000000001</v>
      </c>
      <c r="N55" s="4">
        <v>171.34440000000001</v>
      </c>
      <c r="O55" s="4">
        <v>23.3566</v>
      </c>
      <c r="P55" s="4">
        <v>-923.88559999999995</v>
      </c>
      <c r="Q55" s="4">
        <v>28816.679400000001</v>
      </c>
      <c r="R55" s="4">
        <v>13440.3015</v>
      </c>
      <c r="S55" s="4">
        <v>11981.2526</v>
      </c>
      <c r="T55" s="4">
        <v>1459.0488</v>
      </c>
      <c r="U55" s="4">
        <v>16189.274100000001</v>
      </c>
      <c r="V55" s="4">
        <v>2546.9061000000002</v>
      </c>
      <c r="W55" s="4">
        <v>13642.368</v>
      </c>
      <c r="X55" s="4">
        <v>885.31629999999996</v>
      </c>
      <c r="Y55" s="4">
        <v>1E-4</v>
      </c>
      <c r="Z55" s="4">
        <v>885.31619999999998</v>
      </c>
      <c r="AA55" s="4">
        <v>-1740.6869999999999</v>
      </c>
      <c r="AB55" s="4">
        <v>-1740.6869999999999</v>
      </c>
      <c r="AC55" s="4">
        <v>42.474499999999999</v>
      </c>
    </row>
    <row r="56" spans="1:29" x14ac:dyDescent="0.2">
      <c r="A56" s="3">
        <v>42339</v>
      </c>
      <c r="B56" s="4">
        <v>28270.959599999998</v>
      </c>
      <c r="C56" s="4">
        <v>754.64559999999994</v>
      </c>
      <c r="D56" s="4">
        <v>4201.0522000000001</v>
      </c>
      <c r="E56" s="4">
        <v>428.24680000000001</v>
      </c>
      <c r="F56" s="4">
        <v>3772.8054000000002</v>
      </c>
      <c r="G56" s="5">
        <v>22349.918900000001</v>
      </c>
      <c r="H56" s="4">
        <v>22349.918900000001</v>
      </c>
      <c r="I56" s="4">
        <v>-8.2474000000000007</v>
      </c>
      <c r="J56" s="5">
        <v>785.04870000000005</v>
      </c>
      <c r="K56" s="4">
        <v>27.8108</v>
      </c>
      <c r="L56" s="4">
        <v>757.23789999999997</v>
      </c>
      <c r="M56" s="4">
        <v>171.489</v>
      </c>
      <c r="N56" s="4">
        <v>171.489</v>
      </c>
      <c r="O56" s="4">
        <v>17.052600000000002</v>
      </c>
      <c r="P56" s="4">
        <v>-741.21950000000004</v>
      </c>
      <c r="Q56" s="4">
        <v>29012.179100000001</v>
      </c>
      <c r="R56" s="4">
        <v>15934.6913</v>
      </c>
      <c r="S56" s="4">
        <v>13868.8827</v>
      </c>
      <c r="T56" s="4">
        <v>2065.8085999999998</v>
      </c>
      <c r="U56" s="4">
        <v>14209.3665</v>
      </c>
      <c r="V56" s="4">
        <v>898.37620000000004</v>
      </c>
      <c r="W56" s="4">
        <v>13310.990299999999</v>
      </c>
      <c r="X56" s="4">
        <v>801.63409999999999</v>
      </c>
      <c r="Y56" s="4">
        <v>0.2127</v>
      </c>
      <c r="Z56" s="4">
        <v>801.42139999999995</v>
      </c>
      <c r="AA56" s="4">
        <v>-1975.7746999999999</v>
      </c>
      <c r="AB56" s="4">
        <v>-1975.7746999999999</v>
      </c>
      <c r="AC56" s="4">
        <v>42.261800000000001</v>
      </c>
    </row>
    <row r="57" spans="1:29" x14ac:dyDescent="0.2">
      <c r="A57" s="3">
        <v>42430</v>
      </c>
      <c r="B57" s="4">
        <v>27644.269199999999</v>
      </c>
      <c r="C57" s="4">
        <v>521.26620000000003</v>
      </c>
      <c r="D57" s="4">
        <v>3990.2244000000001</v>
      </c>
      <c r="E57" s="4">
        <v>684.27440000000001</v>
      </c>
      <c r="F57" s="4">
        <v>3305.95</v>
      </c>
      <c r="G57" s="5">
        <v>22174.902300000002</v>
      </c>
      <c r="H57" s="4">
        <v>22174.902300000002</v>
      </c>
      <c r="I57" s="4">
        <v>-12.9734</v>
      </c>
      <c r="J57" s="5">
        <v>784.19</v>
      </c>
      <c r="K57" s="4">
        <v>15.824199999999999</v>
      </c>
      <c r="L57" s="4">
        <v>768.36580000000004</v>
      </c>
      <c r="M57" s="4">
        <v>164.29640000000001</v>
      </c>
      <c r="N57" s="4">
        <v>164.29640000000001</v>
      </c>
      <c r="O57" s="4">
        <v>22.363399999999999</v>
      </c>
      <c r="P57" s="4">
        <v>-883.46339999999998</v>
      </c>
      <c r="Q57" s="4">
        <v>28527.732599999999</v>
      </c>
      <c r="R57" s="4">
        <v>15740.0982</v>
      </c>
      <c r="S57" s="4">
        <v>13876.9606</v>
      </c>
      <c r="T57" s="4">
        <v>1863.1376</v>
      </c>
      <c r="U57" s="4">
        <v>14759.439399999999</v>
      </c>
      <c r="V57" s="4">
        <v>2850.4270999999999</v>
      </c>
      <c r="W57" s="4">
        <v>11909.0123</v>
      </c>
      <c r="X57" s="4">
        <v>777.01170000000002</v>
      </c>
      <c r="Y57" s="4">
        <v>5.4000000000000003E-3</v>
      </c>
      <c r="Z57" s="4">
        <v>777.00630000000001</v>
      </c>
      <c r="AA57" s="4">
        <v>-2774.5617999999999</v>
      </c>
      <c r="AB57" s="4">
        <v>-2774.5617999999999</v>
      </c>
      <c r="AC57" s="4">
        <v>25.745100000000001</v>
      </c>
    </row>
    <row r="58" spans="1:29" x14ac:dyDescent="0.2">
      <c r="A58" s="3">
        <v>42522</v>
      </c>
      <c r="B58" s="4">
        <v>27087.6639</v>
      </c>
      <c r="C58" s="4">
        <v>507.59350000000001</v>
      </c>
      <c r="D58" s="4">
        <v>3956.1210999999998</v>
      </c>
      <c r="E58" s="4">
        <v>683.34410000000003</v>
      </c>
      <c r="F58" s="4">
        <v>3272.777</v>
      </c>
      <c r="G58" s="5">
        <v>21782.780699999999</v>
      </c>
      <c r="H58" s="4">
        <v>21782.780699999999</v>
      </c>
      <c r="I58" s="4">
        <v>-11.170500000000001</v>
      </c>
      <c r="J58" s="5">
        <v>674.71889999999996</v>
      </c>
      <c r="K58" s="4">
        <v>35.779400000000003</v>
      </c>
      <c r="L58" s="4">
        <v>638.93949999999995</v>
      </c>
      <c r="M58" s="4">
        <v>160.70660000000001</v>
      </c>
      <c r="N58" s="4">
        <v>160.70660000000001</v>
      </c>
      <c r="O58" s="4">
        <v>16.913599999999999</v>
      </c>
      <c r="P58" s="4">
        <v>-787.07529999999997</v>
      </c>
      <c r="Q58" s="4">
        <v>27874.7392</v>
      </c>
      <c r="R58" s="4">
        <v>14850.768</v>
      </c>
      <c r="S58" s="4">
        <v>12963.122799999999</v>
      </c>
      <c r="T58" s="4">
        <v>1887.6451999999999</v>
      </c>
      <c r="U58" s="4">
        <v>15702.7968</v>
      </c>
      <c r="V58" s="4">
        <v>3378.7507000000001</v>
      </c>
      <c r="W58" s="4">
        <v>12324.046</v>
      </c>
      <c r="X58" s="4">
        <v>755.95029999999997</v>
      </c>
      <c r="Y58" s="4">
        <v>1.1000000000000001E-3</v>
      </c>
      <c r="Z58" s="4">
        <v>755.94920000000002</v>
      </c>
      <c r="AA58" s="4">
        <v>-3448.8791000000001</v>
      </c>
      <c r="AB58" s="4">
        <v>-3448.8791000000001</v>
      </c>
      <c r="AC58" s="4">
        <v>14.103199999999999</v>
      </c>
    </row>
    <row r="59" spans="1:29" x14ac:dyDescent="0.2">
      <c r="A59" s="3">
        <v>42614</v>
      </c>
      <c r="B59" s="4">
        <v>26880.1577</v>
      </c>
      <c r="C59" s="4">
        <v>504.62720000000002</v>
      </c>
      <c r="D59" s="4">
        <v>3629.1057999999998</v>
      </c>
      <c r="E59" s="4">
        <v>669.00310000000002</v>
      </c>
      <c r="F59" s="4">
        <v>2960.1026999999999</v>
      </c>
      <c r="G59" s="5">
        <v>21857.090100000001</v>
      </c>
      <c r="H59" s="4">
        <v>21857.090100000001</v>
      </c>
      <c r="I59" s="4">
        <v>-5.1580000000000004</v>
      </c>
      <c r="J59" s="5">
        <v>718.60140000000001</v>
      </c>
      <c r="K59" s="4">
        <v>71.075999999999993</v>
      </c>
      <c r="L59" s="4">
        <v>647.52539999999999</v>
      </c>
      <c r="M59" s="4">
        <v>160.03720000000001</v>
      </c>
      <c r="N59" s="4">
        <v>160.03720000000001</v>
      </c>
      <c r="O59" s="4">
        <v>15.854100000000001</v>
      </c>
      <c r="P59" s="4">
        <v>-895.35299999999995</v>
      </c>
      <c r="Q59" s="4">
        <v>27775.510699999999</v>
      </c>
      <c r="R59" s="4">
        <v>14030.9293</v>
      </c>
      <c r="S59" s="4">
        <v>12335.7891</v>
      </c>
      <c r="T59" s="4">
        <v>1695.1402</v>
      </c>
      <c r="U59" s="4">
        <v>16613.320199999998</v>
      </c>
      <c r="V59" s="4">
        <v>4898.2992000000004</v>
      </c>
      <c r="W59" s="4">
        <v>11715.021000000001</v>
      </c>
      <c r="X59" s="4">
        <v>751.6096</v>
      </c>
      <c r="Y59" s="4">
        <v>4.7500000000000001E-2</v>
      </c>
      <c r="Z59" s="4">
        <v>751.56209999999999</v>
      </c>
      <c r="AA59" s="4">
        <v>-3636.0819000000001</v>
      </c>
      <c r="AB59" s="4">
        <v>-3636.0819000000001</v>
      </c>
      <c r="AC59" s="4">
        <v>15.733499999999999</v>
      </c>
    </row>
    <row r="60" spans="1:29" x14ac:dyDescent="0.2">
      <c r="A60" s="3">
        <v>42705</v>
      </c>
      <c r="B60" s="4">
        <v>27860.968799999999</v>
      </c>
      <c r="C60" s="4">
        <v>491.5247</v>
      </c>
      <c r="D60" s="4">
        <v>5111.3005999999996</v>
      </c>
      <c r="E60" s="4">
        <v>684.6884</v>
      </c>
      <c r="F60" s="4">
        <v>4426.6121999999996</v>
      </c>
      <c r="G60" s="5">
        <v>21408.1672</v>
      </c>
      <c r="H60" s="4">
        <v>21408.1672</v>
      </c>
      <c r="I60" s="4">
        <v>-4.4962</v>
      </c>
      <c r="J60" s="5">
        <v>677.46479999999997</v>
      </c>
      <c r="K60" s="4">
        <v>22.502800000000001</v>
      </c>
      <c r="L60" s="4">
        <v>654.96199999999999</v>
      </c>
      <c r="M60" s="4">
        <v>160.58539999999999</v>
      </c>
      <c r="N60" s="4">
        <v>160.58539999999999</v>
      </c>
      <c r="O60" s="4">
        <v>16.4224</v>
      </c>
      <c r="P60" s="4">
        <v>-806.9529</v>
      </c>
      <c r="Q60" s="4">
        <v>28667.9218</v>
      </c>
      <c r="R60" s="4">
        <v>16220.217500000001</v>
      </c>
      <c r="S60" s="4">
        <v>13684.329</v>
      </c>
      <c r="T60" s="4">
        <v>2535.8885</v>
      </c>
      <c r="U60" s="4">
        <v>15898.1906</v>
      </c>
      <c r="V60" s="4">
        <v>4206.3236999999999</v>
      </c>
      <c r="W60" s="4">
        <v>11691.8668</v>
      </c>
      <c r="X60" s="4">
        <v>733.11289999999997</v>
      </c>
      <c r="Y60" s="4">
        <v>0.05</v>
      </c>
      <c r="Z60" s="4">
        <v>733.06299999999999</v>
      </c>
      <c r="AA60" s="4">
        <v>-4205.8815000000004</v>
      </c>
      <c r="AB60" s="4">
        <v>-4205.8815000000004</v>
      </c>
      <c r="AC60" s="4">
        <v>22.282299999999999</v>
      </c>
    </row>
    <row r="61" spans="1:29" x14ac:dyDescent="0.2">
      <c r="A61" s="3">
        <v>42795</v>
      </c>
      <c r="B61" s="4">
        <v>26696.049299999999</v>
      </c>
      <c r="C61" s="4">
        <v>493.14839999999998</v>
      </c>
      <c r="D61" s="4">
        <v>3848.8544000000002</v>
      </c>
      <c r="E61" s="4">
        <v>717.90300000000002</v>
      </c>
      <c r="F61" s="4">
        <v>3130.9513999999999</v>
      </c>
      <c r="G61" s="5">
        <v>21513.558000000001</v>
      </c>
      <c r="H61" s="4">
        <v>21513.558000000001</v>
      </c>
      <c r="I61" s="4">
        <v>-1.1860999999999999</v>
      </c>
      <c r="J61" s="5">
        <v>665.24969999999996</v>
      </c>
      <c r="K61" s="4">
        <v>2.8957000000000002</v>
      </c>
      <c r="L61" s="4">
        <v>662.35400000000004</v>
      </c>
      <c r="M61" s="4">
        <v>159.8202</v>
      </c>
      <c r="N61" s="4">
        <v>159.8202</v>
      </c>
      <c r="O61" s="4">
        <v>16.604700000000001</v>
      </c>
      <c r="P61" s="4">
        <v>-900.42679999999996</v>
      </c>
      <c r="Q61" s="4">
        <v>27596.4761</v>
      </c>
      <c r="R61" s="4">
        <v>14577.1297</v>
      </c>
      <c r="S61" s="4">
        <v>12722.349399999999</v>
      </c>
      <c r="T61" s="4">
        <v>1854.7802999999999</v>
      </c>
      <c r="U61" s="4">
        <v>16496.376199999999</v>
      </c>
      <c r="V61" s="4">
        <v>5275.6881999999996</v>
      </c>
      <c r="W61" s="4">
        <v>11220.687900000001</v>
      </c>
      <c r="X61" s="4">
        <v>734.93399999999997</v>
      </c>
      <c r="Y61" s="4">
        <v>4.2700000000000002E-2</v>
      </c>
      <c r="Z61" s="4">
        <v>734.8913</v>
      </c>
      <c r="AA61" s="4">
        <v>-4249.4430000000002</v>
      </c>
      <c r="AB61" s="4">
        <v>-4249.4430000000002</v>
      </c>
      <c r="AC61" s="4">
        <v>37.479199999999999</v>
      </c>
    </row>
    <row r="62" spans="1:29" x14ac:dyDescent="0.2">
      <c r="A62" s="3">
        <v>42887</v>
      </c>
      <c r="B62" s="4">
        <v>26617.973900000001</v>
      </c>
      <c r="C62" s="4">
        <v>505.95979999999997</v>
      </c>
      <c r="D62" s="4">
        <v>3380.3941</v>
      </c>
      <c r="E62" s="4">
        <v>690.96849999999995</v>
      </c>
      <c r="F62" s="4">
        <v>2689.4256</v>
      </c>
      <c r="G62" s="5">
        <v>21921.0684</v>
      </c>
      <c r="H62" s="4">
        <v>21921.0684</v>
      </c>
      <c r="I62" s="4">
        <v>-1.8811</v>
      </c>
      <c r="J62" s="5">
        <v>632.71799999999996</v>
      </c>
      <c r="K62" s="4">
        <v>104.7009</v>
      </c>
      <c r="L62" s="4">
        <v>528.01710000000003</v>
      </c>
      <c r="M62" s="4">
        <v>160.91679999999999</v>
      </c>
      <c r="N62" s="4">
        <v>160.91679999999999</v>
      </c>
      <c r="O62" s="4">
        <v>18.797799999999999</v>
      </c>
      <c r="P62" s="4">
        <v>-778.10879999999997</v>
      </c>
      <c r="Q62" s="4">
        <v>27396.082699999999</v>
      </c>
      <c r="R62" s="4">
        <v>13608.561400000001</v>
      </c>
      <c r="S62" s="4">
        <v>12250.8328</v>
      </c>
      <c r="T62" s="4">
        <v>1357.7285999999999</v>
      </c>
      <c r="U62" s="4">
        <v>17072.904900000001</v>
      </c>
      <c r="V62" s="4">
        <v>6273.4646000000002</v>
      </c>
      <c r="W62" s="4">
        <v>10799.440199999999</v>
      </c>
      <c r="X62" s="4">
        <v>754.54100000000005</v>
      </c>
      <c r="Y62" s="4">
        <v>3.1899999999999998E-2</v>
      </c>
      <c r="Z62" s="4">
        <v>754.50909999999999</v>
      </c>
      <c r="AA62" s="4">
        <v>-4083.2293</v>
      </c>
      <c r="AB62" s="4">
        <v>-4083.2293</v>
      </c>
      <c r="AC62" s="4">
        <v>43.304699999999997</v>
      </c>
    </row>
    <row r="63" spans="1:29" x14ac:dyDescent="0.2">
      <c r="A63" s="3">
        <v>42979</v>
      </c>
      <c r="B63" s="4">
        <v>24735.200400000002</v>
      </c>
      <c r="C63" s="4">
        <v>493.39210000000003</v>
      </c>
      <c r="D63" s="4">
        <v>2182.8829000000001</v>
      </c>
      <c r="E63" s="4">
        <v>411.93290000000002</v>
      </c>
      <c r="F63" s="4">
        <v>1770.95</v>
      </c>
      <c r="G63" s="5">
        <v>21356.3112</v>
      </c>
      <c r="H63" s="4">
        <v>21356.3112</v>
      </c>
      <c r="I63" s="4">
        <v>-2.1707000000000001</v>
      </c>
      <c r="J63" s="5">
        <v>530.73900000000003</v>
      </c>
      <c r="K63" s="4">
        <v>4.41E-2</v>
      </c>
      <c r="L63" s="4">
        <v>530.69489999999996</v>
      </c>
      <c r="M63" s="4">
        <v>155.10830000000001</v>
      </c>
      <c r="N63" s="4">
        <v>155.10830000000001</v>
      </c>
      <c r="O63" s="4">
        <v>18.9376</v>
      </c>
      <c r="P63" s="4">
        <v>-657.59849999999994</v>
      </c>
      <c r="Q63" s="4">
        <v>25392.798900000002</v>
      </c>
      <c r="R63" s="4">
        <v>14060.481299999999</v>
      </c>
      <c r="S63" s="4">
        <v>13601.958199999999</v>
      </c>
      <c r="T63" s="4">
        <v>458.5231</v>
      </c>
      <c r="U63" s="4">
        <v>15447.675800000001</v>
      </c>
      <c r="V63" s="4">
        <v>5162.0915999999997</v>
      </c>
      <c r="W63" s="4">
        <v>10285.584199999999</v>
      </c>
      <c r="X63" s="4">
        <v>735.92870000000005</v>
      </c>
      <c r="Y63" s="4">
        <v>5.9999999999999995E-4</v>
      </c>
      <c r="Z63" s="4">
        <v>735.92809999999997</v>
      </c>
      <c r="AA63" s="4">
        <v>-4892.9611000000004</v>
      </c>
      <c r="AB63" s="4">
        <v>-4892.9611000000004</v>
      </c>
      <c r="AC63" s="4">
        <v>41.674300000000002</v>
      </c>
    </row>
    <row r="64" spans="1:29" x14ac:dyDescent="0.2">
      <c r="A64" s="3">
        <v>43070</v>
      </c>
      <c r="B64" s="4">
        <v>24950.689200000001</v>
      </c>
      <c r="C64" s="4">
        <v>480.19690000000003</v>
      </c>
      <c r="D64" s="4">
        <v>2439.2721000000001</v>
      </c>
      <c r="E64" s="4">
        <v>722.01570000000004</v>
      </c>
      <c r="F64" s="4">
        <v>1717.2564</v>
      </c>
      <c r="G64" s="5">
        <v>21062.2634</v>
      </c>
      <c r="H64" s="4">
        <v>21062.2634</v>
      </c>
      <c r="I64" s="4">
        <v>-2.9005999999999998</v>
      </c>
      <c r="J64" s="5">
        <v>839.20129999999995</v>
      </c>
      <c r="K64" s="4">
        <v>302.83510000000001</v>
      </c>
      <c r="L64" s="4">
        <v>536.36630000000002</v>
      </c>
      <c r="M64" s="4">
        <v>117.8083</v>
      </c>
      <c r="N64" s="4">
        <v>117.8083</v>
      </c>
      <c r="O64" s="4">
        <v>14.847799999999999</v>
      </c>
      <c r="P64" s="4">
        <v>-544.02739999999994</v>
      </c>
      <c r="Q64" s="4">
        <v>25494.7166</v>
      </c>
      <c r="R64" s="4">
        <v>15176.791499999999</v>
      </c>
      <c r="S64" s="4">
        <v>14153.252</v>
      </c>
      <c r="T64" s="4">
        <v>1023.5395</v>
      </c>
      <c r="U64" s="4">
        <v>15336.654</v>
      </c>
      <c r="V64" s="4">
        <v>5099.7422999999999</v>
      </c>
      <c r="W64" s="4">
        <v>10236.911700000001</v>
      </c>
      <c r="X64" s="4">
        <v>716.62530000000004</v>
      </c>
      <c r="Y64" s="4">
        <v>4.1700000000000001E-2</v>
      </c>
      <c r="Z64" s="4">
        <v>716.58360000000005</v>
      </c>
      <c r="AA64" s="4">
        <v>-5783.1109999999999</v>
      </c>
      <c r="AB64" s="4">
        <v>-5783.1109999999999</v>
      </c>
      <c r="AC64" s="4">
        <v>47.756799999999998</v>
      </c>
    </row>
    <row r="65" spans="1:29" x14ac:dyDescent="0.2">
      <c r="A65" s="3">
        <v>43160</v>
      </c>
      <c r="B65" s="4">
        <v>23754.958299999998</v>
      </c>
      <c r="C65" s="4">
        <v>482.07960000000003</v>
      </c>
      <c r="D65" s="4">
        <v>1663.2209</v>
      </c>
      <c r="E65" s="4">
        <v>699.88699999999994</v>
      </c>
      <c r="F65" s="4">
        <v>963.33389999999997</v>
      </c>
      <c r="G65" s="5">
        <v>20917.526300000001</v>
      </c>
      <c r="H65" s="4">
        <v>20917.526300000001</v>
      </c>
      <c r="I65" s="4">
        <v>0</v>
      </c>
      <c r="J65" s="5">
        <v>539.42409999999995</v>
      </c>
      <c r="K65" s="4">
        <v>7.0199999999999999E-2</v>
      </c>
      <c r="L65" s="4">
        <v>539.35389999999995</v>
      </c>
      <c r="M65" s="4">
        <v>142.82</v>
      </c>
      <c r="N65" s="4">
        <v>142.82</v>
      </c>
      <c r="O65" s="4">
        <v>9.8873999999999995</v>
      </c>
      <c r="P65" s="4">
        <v>-540.0231</v>
      </c>
      <c r="Q65" s="4">
        <v>24294.981500000002</v>
      </c>
      <c r="R65" s="4">
        <v>14555.748299999999</v>
      </c>
      <c r="S65" s="4">
        <v>14252.0278</v>
      </c>
      <c r="T65" s="4">
        <v>303.72050000000002</v>
      </c>
      <c r="U65" s="4">
        <v>15107.7456</v>
      </c>
      <c r="V65" s="4">
        <v>6121.4209000000001</v>
      </c>
      <c r="W65" s="4">
        <v>8986.3246999999992</v>
      </c>
      <c r="X65" s="4">
        <v>719.69949999999994</v>
      </c>
      <c r="Y65" s="4">
        <v>1E-3</v>
      </c>
      <c r="Z65" s="4">
        <v>719.69849999999997</v>
      </c>
      <c r="AA65" s="4">
        <v>-6126.1230999999998</v>
      </c>
      <c r="AB65" s="4">
        <v>-6126.1230999999998</v>
      </c>
      <c r="AC65" s="4">
        <v>37.911200000000001</v>
      </c>
    </row>
    <row r="66" spans="1:29" x14ac:dyDescent="0.2">
      <c r="A66" s="3">
        <v>43252</v>
      </c>
      <c r="B66" s="4">
        <v>24550.571</v>
      </c>
      <c r="C66" s="4">
        <v>498.9803</v>
      </c>
      <c r="D66" s="4">
        <v>1457.9770000000001</v>
      </c>
      <c r="E66" s="4">
        <v>22.509799999999998</v>
      </c>
      <c r="F66" s="4">
        <v>1435.4672</v>
      </c>
      <c r="G66" s="5">
        <v>22008.776399999999</v>
      </c>
      <c r="H66" s="4">
        <v>22008.776399999999</v>
      </c>
      <c r="I66" s="4">
        <v>0</v>
      </c>
      <c r="J66" s="5">
        <v>422.85770000000002</v>
      </c>
      <c r="K66" s="4">
        <v>31.899699999999999</v>
      </c>
      <c r="L66" s="4">
        <v>390.95800000000003</v>
      </c>
      <c r="M66" s="4">
        <v>151.89689999999999</v>
      </c>
      <c r="N66" s="4">
        <v>151.89689999999999</v>
      </c>
      <c r="O66" s="4">
        <v>10.082599999999999</v>
      </c>
      <c r="P66" s="4">
        <v>-523.56150000000002</v>
      </c>
      <c r="Q66" s="4">
        <v>25074.1325</v>
      </c>
      <c r="R66" s="4">
        <v>13478.8303</v>
      </c>
      <c r="S66" s="4">
        <v>13328.778399999999</v>
      </c>
      <c r="T66" s="4">
        <v>150.05189999999999</v>
      </c>
      <c r="U66" s="4">
        <v>15981.519700000001</v>
      </c>
      <c r="V66" s="4">
        <v>7280.4224000000004</v>
      </c>
      <c r="W66" s="4">
        <v>8701.0972999999994</v>
      </c>
      <c r="X66" s="4">
        <v>745.67589999999996</v>
      </c>
      <c r="Y66" s="4">
        <v>1.1999999999999999E-3</v>
      </c>
      <c r="Z66" s="4">
        <v>745.67470000000003</v>
      </c>
      <c r="AA66" s="4">
        <v>-5171.6000999999997</v>
      </c>
      <c r="AB66" s="4">
        <v>-5171.6000999999997</v>
      </c>
      <c r="AC66" s="4">
        <v>39.706600000000002</v>
      </c>
    </row>
    <row r="67" spans="1:29" x14ac:dyDescent="0.2">
      <c r="A67" s="3">
        <v>43344</v>
      </c>
      <c r="B67" s="4">
        <v>25246.6466</v>
      </c>
      <c r="C67" s="4">
        <v>504.78719999999998</v>
      </c>
      <c r="D67" s="4">
        <v>1537.7139999999999</v>
      </c>
      <c r="E67" s="4">
        <v>480.47089999999997</v>
      </c>
      <c r="F67" s="4">
        <v>1057.2429999999999</v>
      </c>
      <c r="G67" s="5">
        <v>22521.4771</v>
      </c>
      <c r="H67" s="4">
        <v>22521.4771</v>
      </c>
      <c r="I67" s="4">
        <v>0</v>
      </c>
      <c r="J67" s="5">
        <v>521.10440000000006</v>
      </c>
      <c r="K67" s="4">
        <v>125.1563</v>
      </c>
      <c r="L67" s="4">
        <v>395.94810000000001</v>
      </c>
      <c r="M67" s="4">
        <v>153.75470000000001</v>
      </c>
      <c r="N67" s="4">
        <v>153.75470000000001</v>
      </c>
      <c r="O67" s="4">
        <v>7.8093000000000004</v>
      </c>
      <c r="P67" s="4">
        <v>-529.44500000000005</v>
      </c>
      <c r="Q67" s="4">
        <v>25776.0916</v>
      </c>
      <c r="R67" s="4">
        <v>14281.570900000001</v>
      </c>
      <c r="S67" s="4">
        <v>13853.420099999999</v>
      </c>
      <c r="T67" s="4">
        <v>428.15069999999997</v>
      </c>
      <c r="U67" s="4">
        <v>15506.7186</v>
      </c>
      <c r="V67" s="4">
        <v>7500.0919999999996</v>
      </c>
      <c r="W67" s="4">
        <v>8006.6266999999998</v>
      </c>
      <c r="X67" s="4">
        <v>755.17349999999999</v>
      </c>
      <c r="Y67" s="4">
        <v>5.9999999999999995E-4</v>
      </c>
      <c r="Z67" s="4">
        <v>755.17290000000003</v>
      </c>
      <c r="AA67" s="4">
        <v>-4806.2515999999996</v>
      </c>
      <c r="AB67" s="4">
        <v>-4806.2515999999996</v>
      </c>
      <c r="AC67" s="4">
        <v>38.880200000000002</v>
      </c>
    </row>
    <row r="68" spans="1:29" x14ac:dyDescent="0.2">
      <c r="A68" s="3">
        <v>43435</v>
      </c>
      <c r="B68" s="4">
        <v>28460.463500000002</v>
      </c>
      <c r="C68" s="4">
        <v>529.55250000000001</v>
      </c>
      <c r="D68" s="4">
        <v>3482.9672</v>
      </c>
      <c r="E68" s="4">
        <v>511.3963</v>
      </c>
      <c r="F68" s="4">
        <v>2971.5709999999999</v>
      </c>
      <c r="G68" s="5">
        <v>23718.5167</v>
      </c>
      <c r="H68" s="4">
        <v>23718.5167</v>
      </c>
      <c r="I68" s="4">
        <v>0</v>
      </c>
      <c r="J68" s="5">
        <v>560.77149999999995</v>
      </c>
      <c r="K68" s="4">
        <v>160.4204</v>
      </c>
      <c r="L68" s="4">
        <v>400.35109999999997</v>
      </c>
      <c r="M68" s="4">
        <v>161.71940000000001</v>
      </c>
      <c r="N68" s="4">
        <v>161.71940000000001</v>
      </c>
      <c r="O68" s="4">
        <v>6.9362000000000004</v>
      </c>
      <c r="P68" s="4">
        <v>-544.50649999999996</v>
      </c>
      <c r="Q68" s="4">
        <v>29004.97</v>
      </c>
      <c r="R68" s="4">
        <v>17546.603800000001</v>
      </c>
      <c r="S68" s="4">
        <v>15934.192800000001</v>
      </c>
      <c r="T68" s="4">
        <v>1612.4110000000001</v>
      </c>
      <c r="U68" s="4">
        <v>14380.648499999999</v>
      </c>
      <c r="V68" s="4">
        <v>6449.0658000000003</v>
      </c>
      <c r="W68" s="4">
        <v>7931.5826999999999</v>
      </c>
      <c r="X68" s="4">
        <v>791.8125</v>
      </c>
      <c r="Y68" s="4">
        <v>3.0000000000000001E-3</v>
      </c>
      <c r="Z68" s="4">
        <v>791.80960000000005</v>
      </c>
      <c r="AA68" s="4">
        <v>-3760.3290000000002</v>
      </c>
      <c r="AB68" s="4">
        <v>-3760.3290000000002</v>
      </c>
      <c r="AC68" s="4">
        <v>46.234099999999998</v>
      </c>
    </row>
    <row r="69" spans="1:29" x14ac:dyDescent="0.2">
      <c r="A69" s="3">
        <v>43525</v>
      </c>
      <c r="B69" s="4">
        <v>27109.462599999999</v>
      </c>
      <c r="C69" s="4">
        <v>517.42409999999995</v>
      </c>
      <c r="D69" s="4">
        <v>1770.5712000000001</v>
      </c>
      <c r="E69" s="4">
        <v>503.41079999999999</v>
      </c>
      <c r="F69" s="4">
        <v>1267.1604</v>
      </c>
      <c r="G69" s="5">
        <v>24077.057499999999</v>
      </c>
      <c r="H69" s="4">
        <v>24077.057499999999</v>
      </c>
      <c r="I69" s="4">
        <v>0</v>
      </c>
      <c r="J69" s="5">
        <v>578.28679999999997</v>
      </c>
      <c r="K69" s="4">
        <v>176.94739999999999</v>
      </c>
      <c r="L69" s="4">
        <v>401.33940000000001</v>
      </c>
      <c r="M69" s="4">
        <v>160.1112</v>
      </c>
      <c r="N69" s="4">
        <v>160.1112</v>
      </c>
      <c r="O69" s="4">
        <v>6.0119999999999996</v>
      </c>
      <c r="P69" s="4">
        <v>-629.76840000000004</v>
      </c>
      <c r="Q69" s="4">
        <v>27739.231</v>
      </c>
      <c r="R69" s="4">
        <v>14092.9877</v>
      </c>
      <c r="S69" s="4">
        <v>13814.6826</v>
      </c>
      <c r="T69" s="4">
        <v>278.30500000000001</v>
      </c>
      <c r="U69" s="4">
        <v>16874.343400000002</v>
      </c>
      <c r="V69" s="4">
        <v>9507.1576000000005</v>
      </c>
      <c r="W69" s="4">
        <v>7367.1858000000002</v>
      </c>
      <c r="X69" s="4">
        <v>773.80809999999997</v>
      </c>
      <c r="Y69" s="4">
        <v>2.5999999999999999E-3</v>
      </c>
      <c r="Z69" s="4">
        <v>773.80560000000003</v>
      </c>
      <c r="AA69" s="4">
        <v>-4040.4472000000001</v>
      </c>
      <c r="AB69" s="4">
        <v>-4040.4472000000001</v>
      </c>
      <c r="AC69" s="4">
        <v>38.539099999999998</v>
      </c>
    </row>
    <row r="70" spans="1:29" x14ac:dyDescent="0.2">
      <c r="A70" s="3">
        <v>43617</v>
      </c>
      <c r="B70" s="4">
        <v>27554.231100000001</v>
      </c>
      <c r="C70" s="4">
        <v>517.68299999999999</v>
      </c>
      <c r="D70" s="4">
        <v>1674.6276</v>
      </c>
      <c r="E70" s="4">
        <v>804.48770000000002</v>
      </c>
      <c r="F70" s="4">
        <v>870.13990000000001</v>
      </c>
      <c r="G70" s="5">
        <v>24673.331600000001</v>
      </c>
      <c r="H70" s="4">
        <v>24673.331600000001</v>
      </c>
      <c r="I70" s="4">
        <v>0</v>
      </c>
      <c r="J70" s="5">
        <v>521.20349999999996</v>
      </c>
      <c r="K70" s="4">
        <v>205.72120000000001</v>
      </c>
      <c r="L70" s="4">
        <v>315.48239999999998</v>
      </c>
      <c r="M70" s="4">
        <v>160.79480000000001</v>
      </c>
      <c r="N70" s="4">
        <v>160.79480000000001</v>
      </c>
      <c r="O70" s="4">
        <v>6.5907</v>
      </c>
      <c r="P70" s="4">
        <v>-772.65539999999999</v>
      </c>
      <c r="Q70" s="4">
        <v>28326.886500000001</v>
      </c>
      <c r="R70" s="4">
        <v>15214.5707</v>
      </c>
      <c r="S70" s="4">
        <v>14601.841200000001</v>
      </c>
      <c r="T70" s="4">
        <v>612.72950000000003</v>
      </c>
      <c r="U70" s="4">
        <v>16050.4856</v>
      </c>
      <c r="V70" s="4">
        <v>8440.2515000000003</v>
      </c>
      <c r="W70" s="4">
        <v>7610.2341999999999</v>
      </c>
      <c r="X70" s="4">
        <v>773.51009999999997</v>
      </c>
      <c r="Y70" s="4">
        <v>1.6999999999999999E-3</v>
      </c>
      <c r="Z70" s="4">
        <v>773.50840000000005</v>
      </c>
      <c r="AA70" s="4">
        <v>-3747.7213999999999</v>
      </c>
      <c r="AB70" s="4">
        <v>-3747.7213999999999</v>
      </c>
      <c r="AC70" s="4">
        <v>36.041499999999999</v>
      </c>
    </row>
    <row r="71" spans="1:29" x14ac:dyDescent="0.2">
      <c r="A71" s="3">
        <v>43709</v>
      </c>
      <c r="B71" s="4">
        <v>28977.0707</v>
      </c>
      <c r="C71" s="4">
        <v>542.31719999999996</v>
      </c>
      <c r="D71" s="4">
        <v>1150.7131999999999</v>
      </c>
      <c r="E71" s="4">
        <v>24.557200000000002</v>
      </c>
      <c r="F71" s="4">
        <v>1126.1560999999999</v>
      </c>
      <c r="G71" s="5">
        <v>26559.7268</v>
      </c>
      <c r="H71" s="4">
        <v>26559.7268</v>
      </c>
      <c r="I71" s="4">
        <v>0</v>
      </c>
      <c r="J71" s="5">
        <v>543.56259999999997</v>
      </c>
      <c r="K71" s="4">
        <v>226.5318</v>
      </c>
      <c r="L71" s="4">
        <v>317.0308</v>
      </c>
      <c r="M71" s="4">
        <v>172.89330000000001</v>
      </c>
      <c r="N71" s="4">
        <v>172.89330000000001</v>
      </c>
      <c r="O71" s="4">
        <v>7.8575999999999997</v>
      </c>
      <c r="P71" s="4">
        <v>-1012.2474999999999</v>
      </c>
      <c r="Q71" s="4">
        <v>29989.318200000002</v>
      </c>
      <c r="R71" s="4">
        <v>14679.0463</v>
      </c>
      <c r="S71" s="4">
        <v>14674.946599999999</v>
      </c>
      <c r="T71" s="4">
        <v>4.0997000000000003</v>
      </c>
      <c r="U71" s="4">
        <v>16402.0232</v>
      </c>
      <c r="V71" s="4">
        <v>8562.0784999999996</v>
      </c>
      <c r="W71" s="4">
        <v>7839.9447</v>
      </c>
      <c r="X71" s="4">
        <v>809.42269999999996</v>
      </c>
      <c r="Y71" s="4">
        <v>8.9999999999999998E-4</v>
      </c>
      <c r="Z71" s="4">
        <v>809.42179999999996</v>
      </c>
      <c r="AA71" s="4">
        <v>-1933.2279000000001</v>
      </c>
      <c r="AB71" s="4">
        <v>-1933.2279000000001</v>
      </c>
      <c r="AC71" s="4">
        <v>32.053899999999999</v>
      </c>
    </row>
    <row r="72" spans="1:29" x14ac:dyDescent="0.2">
      <c r="A72" s="3">
        <v>43800</v>
      </c>
      <c r="B72" s="4">
        <v>32441.844799999999</v>
      </c>
      <c r="C72" s="4">
        <v>564.21810000000005</v>
      </c>
      <c r="D72" s="4">
        <v>4359.6210000000001</v>
      </c>
      <c r="E72" s="4">
        <v>377.45740000000001</v>
      </c>
      <c r="F72" s="4">
        <v>3982.1635999999999</v>
      </c>
      <c r="G72" s="5">
        <v>25350.2945</v>
      </c>
      <c r="H72" s="4">
        <v>25350.2945</v>
      </c>
      <c r="I72" s="4">
        <v>92.538200000000003</v>
      </c>
      <c r="J72" s="5">
        <v>1887.2471</v>
      </c>
      <c r="K72" s="4">
        <v>1567.8979999999999</v>
      </c>
      <c r="L72" s="4">
        <v>319.34910000000002</v>
      </c>
      <c r="M72" s="4">
        <v>177.86449999999999</v>
      </c>
      <c r="N72" s="4">
        <v>177.86449999999999</v>
      </c>
      <c r="O72" s="4">
        <v>10.061400000000001</v>
      </c>
      <c r="P72" s="4">
        <v>-316.78660000000002</v>
      </c>
      <c r="Q72" s="4">
        <v>32758.631300000001</v>
      </c>
      <c r="R72" s="4">
        <v>19283.432000000001</v>
      </c>
      <c r="S72" s="4">
        <v>17244.379199999999</v>
      </c>
      <c r="T72" s="4">
        <v>2039.0527999999999</v>
      </c>
      <c r="U72" s="4">
        <v>14150.0831</v>
      </c>
      <c r="V72" s="4">
        <v>9124.1746000000003</v>
      </c>
      <c r="W72" s="4">
        <v>5025.9085999999998</v>
      </c>
      <c r="X72" s="4">
        <v>849.9289</v>
      </c>
      <c r="Y72" s="4">
        <v>7.6985000000000001</v>
      </c>
      <c r="Z72" s="4">
        <v>842.23050000000001</v>
      </c>
      <c r="AA72" s="4">
        <v>-1562.76</v>
      </c>
      <c r="AB72" s="4">
        <v>-1562.76</v>
      </c>
      <c r="AC72" s="4">
        <v>37.947200000000002</v>
      </c>
    </row>
    <row r="73" spans="1:29" x14ac:dyDescent="0.2">
      <c r="A73" s="3">
        <v>43891</v>
      </c>
      <c r="B73" s="4">
        <v>36373.726499999997</v>
      </c>
      <c r="C73" s="4">
        <v>635.23119999999994</v>
      </c>
      <c r="D73" s="4">
        <v>3400.8753999999999</v>
      </c>
      <c r="E73" s="4">
        <v>1024.3303000000001</v>
      </c>
      <c r="F73" s="4">
        <v>2376.5450999999998</v>
      </c>
      <c r="G73" s="5">
        <v>30255.8367</v>
      </c>
      <c r="H73" s="4">
        <v>30255.8367</v>
      </c>
      <c r="I73" s="4">
        <v>-19.293399999999998</v>
      </c>
      <c r="J73" s="5">
        <v>1884.0392999999999</v>
      </c>
      <c r="K73" s="4">
        <v>1561.9701</v>
      </c>
      <c r="L73" s="4">
        <v>322.0693</v>
      </c>
      <c r="M73" s="4">
        <v>205.10550000000001</v>
      </c>
      <c r="N73" s="4">
        <v>205.10550000000001</v>
      </c>
      <c r="O73" s="4">
        <v>11.931800000000001</v>
      </c>
      <c r="P73" s="4">
        <v>-314.03489999999999</v>
      </c>
      <c r="Q73" s="4">
        <v>36687.761500000001</v>
      </c>
      <c r="R73" s="4">
        <v>24316.3845</v>
      </c>
      <c r="S73" s="4">
        <v>22917.446499999998</v>
      </c>
      <c r="T73" s="4">
        <v>1398.9380000000001</v>
      </c>
      <c r="U73" s="4">
        <v>10383.9336</v>
      </c>
      <c r="V73" s="4">
        <v>5440.1378000000004</v>
      </c>
      <c r="W73" s="4">
        <v>4943.7956999999997</v>
      </c>
      <c r="X73" s="4">
        <v>948.78219999999999</v>
      </c>
      <c r="Y73" s="4">
        <v>4.5202999999999998</v>
      </c>
      <c r="Z73" s="4">
        <v>944.26189999999997</v>
      </c>
      <c r="AA73" s="4">
        <v>997.24189999999999</v>
      </c>
      <c r="AB73" s="4">
        <v>997.24189999999999</v>
      </c>
      <c r="AC73" s="4">
        <v>41.419199999999996</v>
      </c>
    </row>
    <row r="74" spans="1:29" x14ac:dyDescent="0.2">
      <c r="A74" s="3">
        <v>43983</v>
      </c>
      <c r="B74" s="4">
        <v>51787.726900000001</v>
      </c>
      <c r="C74" s="4">
        <v>537.70690000000002</v>
      </c>
      <c r="D74" s="4">
        <v>1119.3744999999999</v>
      </c>
      <c r="E74" s="4">
        <v>657.06569999999999</v>
      </c>
      <c r="F74" s="4">
        <v>462.30880000000002</v>
      </c>
      <c r="G74" s="5">
        <v>31240.908100000001</v>
      </c>
      <c r="H74" s="4">
        <v>31240.908100000001</v>
      </c>
      <c r="I74" s="4">
        <v>-92.843000000000004</v>
      </c>
      <c r="J74" s="5">
        <v>18696.992300000002</v>
      </c>
      <c r="K74" s="4">
        <v>18374.598000000002</v>
      </c>
      <c r="L74" s="4">
        <v>322.39429999999999</v>
      </c>
      <c r="M74" s="4">
        <v>202.10730000000001</v>
      </c>
      <c r="N74" s="4">
        <v>202.10730000000001</v>
      </c>
      <c r="O74" s="4">
        <v>83.480699999999999</v>
      </c>
      <c r="P74" s="4">
        <v>-179.09979999999999</v>
      </c>
      <c r="Q74" s="4">
        <v>51966.826699999998</v>
      </c>
      <c r="R74" s="4">
        <v>28271.5131</v>
      </c>
      <c r="S74" s="4">
        <v>28267.701000000001</v>
      </c>
      <c r="T74" s="4">
        <v>3.8121</v>
      </c>
      <c r="U74" s="4">
        <v>22203.2824</v>
      </c>
      <c r="V74" s="4">
        <v>20474.1109</v>
      </c>
      <c r="W74" s="4">
        <v>1729.1714999999999</v>
      </c>
      <c r="X74" s="4">
        <v>917.52239999999995</v>
      </c>
      <c r="Y74" s="4">
        <v>2E-3</v>
      </c>
      <c r="Z74" s="4">
        <v>917.5204</v>
      </c>
      <c r="AA74" s="4">
        <v>548.14710000000002</v>
      </c>
      <c r="AB74" s="4">
        <v>548.14710000000002</v>
      </c>
      <c r="AC74" s="4">
        <v>26.361699999999999</v>
      </c>
    </row>
    <row r="75" spans="1:29" x14ac:dyDescent="0.2">
      <c r="A75" s="3">
        <v>44075</v>
      </c>
      <c r="B75" s="4">
        <v>59688.217100000002</v>
      </c>
      <c r="C75" s="4">
        <v>529.25409999999999</v>
      </c>
      <c r="D75" s="4">
        <v>1831.6149</v>
      </c>
      <c r="E75" s="4">
        <v>959.40549999999996</v>
      </c>
      <c r="F75" s="4">
        <v>872.20939999999996</v>
      </c>
      <c r="G75" s="5">
        <v>34418.141000000003</v>
      </c>
      <c r="H75" s="4">
        <v>34418.141000000003</v>
      </c>
      <c r="I75" s="4">
        <v>-4.6340000000000003</v>
      </c>
      <c r="J75" s="5">
        <v>22652.079900000001</v>
      </c>
      <c r="K75" s="4">
        <v>22329.785</v>
      </c>
      <c r="L75" s="4">
        <v>322.29489999999998</v>
      </c>
      <c r="M75" s="4">
        <v>197.8802</v>
      </c>
      <c r="N75" s="4">
        <v>197.8802</v>
      </c>
      <c r="O75" s="4">
        <v>63.880899999999997</v>
      </c>
      <c r="P75" s="4">
        <v>-130.84030000000001</v>
      </c>
      <c r="Q75" s="4">
        <v>59819.057399999998</v>
      </c>
      <c r="R75" s="4">
        <v>34985.832199999997</v>
      </c>
      <c r="S75" s="4">
        <v>34610.097099999999</v>
      </c>
      <c r="T75" s="4">
        <v>375.73509999999999</v>
      </c>
      <c r="U75" s="4">
        <v>23846.6826</v>
      </c>
      <c r="V75" s="4">
        <v>22679.404699999999</v>
      </c>
      <c r="W75" s="4">
        <v>1167.278</v>
      </c>
      <c r="X75" s="4">
        <v>902.13109999999995</v>
      </c>
      <c r="Y75" s="4">
        <v>1E-3</v>
      </c>
      <c r="Z75" s="4">
        <v>902.13009999999997</v>
      </c>
      <c r="AA75" s="4">
        <v>57.301699999999997</v>
      </c>
      <c r="AB75" s="4">
        <v>57.301699999999997</v>
      </c>
      <c r="AC75" s="4">
        <v>27.1097</v>
      </c>
    </row>
    <row r="76" spans="1:29" x14ac:dyDescent="0.2">
      <c r="A76" s="3">
        <v>44166</v>
      </c>
      <c r="B76" s="4">
        <v>59294.091500000002</v>
      </c>
      <c r="C76" s="4">
        <v>502.62529999999998</v>
      </c>
      <c r="D76" s="4">
        <v>2022.9901</v>
      </c>
      <c r="E76" s="4">
        <v>530.37580000000003</v>
      </c>
      <c r="F76" s="4">
        <v>1492.6143</v>
      </c>
      <c r="G76" s="5">
        <v>34111.176700000004</v>
      </c>
      <c r="H76" s="4">
        <v>34111.176700000004</v>
      </c>
      <c r="I76" s="4">
        <v>0</v>
      </c>
      <c r="J76" s="5">
        <v>22434.385200000001</v>
      </c>
      <c r="K76" s="4">
        <v>22112.3969</v>
      </c>
      <c r="L76" s="4">
        <v>321.98820000000001</v>
      </c>
      <c r="M76" s="4">
        <v>182.541</v>
      </c>
      <c r="N76" s="4">
        <v>182.541</v>
      </c>
      <c r="O76" s="4">
        <v>40.3733</v>
      </c>
      <c r="P76" s="4">
        <v>-115.1598</v>
      </c>
      <c r="Q76" s="4">
        <v>59409.251300000004</v>
      </c>
      <c r="R76" s="4">
        <v>39133.318500000001</v>
      </c>
      <c r="S76" s="4">
        <v>38859.414900000003</v>
      </c>
      <c r="T76" s="4">
        <v>273.90359999999998</v>
      </c>
      <c r="U76" s="4">
        <v>21122.024300000001</v>
      </c>
      <c r="V76" s="4">
        <v>19999.093400000002</v>
      </c>
      <c r="W76" s="4">
        <v>1122.9309000000001</v>
      </c>
      <c r="X76" s="4">
        <v>857.8066</v>
      </c>
      <c r="Y76" s="4">
        <v>3.3999999999999998E-3</v>
      </c>
      <c r="Z76" s="4">
        <v>857.80309999999997</v>
      </c>
      <c r="AA76" s="4">
        <v>-1738.5206000000001</v>
      </c>
      <c r="AB76" s="4">
        <v>-1738.5206000000001</v>
      </c>
      <c r="AC76" s="4">
        <v>34.622500000000002</v>
      </c>
    </row>
    <row r="77" spans="1:29" x14ac:dyDescent="0.2">
      <c r="A77" s="3">
        <v>44256</v>
      </c>
      <c r="B77" s="4">
        <v>60388.886100000003</v>
      </c>
      <c r="C77" s="4">
        <v>496.0061</v>
      </c>
      <c r="D77" s="4">
        <v>1480.7701999999999</v>
      </c>
      <c r="E77" s="4">
        <v>674.87519999999995</v>
      </c>
      <c r="F77" s="4">
        <v>805.89499999999998</v>
      </c>
      <c r="G77" s="5">
        <v>34917.042200000004</v>
      </c>
      <c r="H77" s="4">
        <v>34917.042200000004</v>
      </c>
      <c r="I77" s="4">
        <v>0</v>
      </c>
      <c r="J77" s="5">
        <v>23282.995900000002</v>
      </c>
      <c r="K77" s="4">
        <v>22963.731100000001</v>
      </c>
      <c r="L77" s="4">
        <v>319.26479999999998</v>
      </c>
      <c r="M77" s="4">
        <v>185.41</v>
      </c>
      <c r="N77" s="4">
        <v>185.41</v>
      </c>
      <c r="O77" s="4">
        <v>26.6616</v>
      </c>
      <c r="P77" s="4">
        <v>-103.4631</v>
      </c>
      <c r="Q77" s="4">
        <v>60492.349199999997</v>
      </c>
      <c r="R77" s="4">
        <v>38292.405599999998</v>
      </c>
      <c r="S77" s="4">
        <v>38287.236799999999</v>
      </c>
      <c r="T77" s="4">
        <v>5.1688000000000001</v>
      </c>
      <c r="U77" s="4">
        <v>22566.173299999999</v>
      </c>
      <c r="V77" s="4">
        <v>21948.682199999999</v>
      </c>
      <c r="W77" s="4">
        <v>617.49109999999996</v>
      </c>
      <c r="X77" s="4">
        <v>847.6567</v>
      </c>
      <c r="Y77" s="4">
        <v>2.7000000000000001E-3</v>
      </c>
      <c r="Z77" s="4">
        <v>847.654</v>
      </c>
      <c r="AA77" s="4">
        <v>-1246.3178</v>
      </c>
      <c r="AB77" s="4">
        <v>-1246.3178</v>
      </c>
      <c r="AC77" s="4">
        <v>32.431399999999996</v>
      </c>
    </row>
    <row r="78" spans="1:29" x14ac:dyDescent="0.2">
      <c r="A78" s="3">
        <v>44348</v>
      </c>
      <c r="B78" s="4">
        <v>71794.724000000002</v>
      </c>
      <c r="C78" s="4">
        <v>439.45080000000002</v>
      </c>
      <c r="D78" s="4">
        <v>2975.1990000000001</v>
      </c>
      <c r="E78" s="4">
        <v>886.48789999999997</v>
      </c>
      <c r="F78" s="4">
        <v>2088.7111</v>
      </c>
      <c r="G78" s="5">
        <v>38729.686999999998</v>
      </c>
      <c r="H78" s="4">
        <v>38729.686999999998</v>
      </c>
      <c r="I78" s="4">
        <v>0</v>
      </c>
      <c r="J78" s="5">
        <v>29379.949400000001</v>
      </c>
      <c r="K78" s="4">
        <v>29055.2713</v>
      </c>
      <c r="L78" s="4">
        <v>324.678</v>
      </c>
      <c r="M78" s="4">
        <v>187.58670000000001</v>
      </c>
      <c r="N78" s="4">
        <v>187.58670000000001</v>
      </c>
      <c r="O78" s="4">
        <v>82.851100000000002</v>
      </c>
      <c r="P78" s="4">
        <v>-84.285399999999996</v>
      </c>
      <c r="Q78" s="4">
        <v>71879.009399999995</v>
      </c>
      <c r="R78" s="4">
        <v>40314.844599999997</v>
      </c>
      <c r="S78" s="4">
        <v>39457.208700000003</v>
      </c>
      <c r="T78" s="4">
        <v>857.63580000000002</v>
      </c>
      <c r="U78" s="4">
        <v>31896.962200000002</v>
      </c>
      <c r="V78" s="4">
        <v>31292.4935</v>
      </c>
      <c r="W78" s="4">
        <v>604.46879999999999</v>
      </c>
      <c r="X78" s="4">
        <v>856.84559999999999</v>
      </c>
      <c r="Y78" s="4">
        <v>1.8E-3</v>
      </c>
      <c r="Z78" s="4">
        <v>856.84379999999999</v>
      </c>
      <c r="AA78" s="4">
        <v>-1224.9629</v>
      </c>
      <c r="AB78" s="4">
        <v>-1224.9629</v>
      </c>
      <c r="AC78" s="4">
        <v>35.319899999999997</v>
      </c>
    </row>
    <row r="79" spans="1:29" x14ac:dyDescent="0.2">
      <c r="A79" s="3">
        <v>44440</v>
      </c>
      <c r="B79" s="4">
        <v>78435.533299999996</v>
      </c>
      <c r="C79" s="4">
        <v>2531.2766999999999</v>
      </c>
      <c r="D79" s="4">
        <v>6269.1642000000002</v>
      </c>
      <c r="E79" s="4">
        <v>1048.0957000000001</v>
      </c>
      <c r="F79" s="4">
        <v>5221.0685000000003</v>
      </c>
      <c r="G79" s="5">
        <v>39910.448799999998</v>
      </c>
      <c r="H79" s="4">
        <v>39910.448799999998</v>
      </c>
      <c r="I79" s="4">
        <v>0</v>
      </c>
      <c r="J79" s="5">
        <v>29455.5599</v>
      </c>
      <c r="K79" s="4">
        <v>29116.042399999998</v>
      </c>
      <c r="L79" s="4">
        <v>339.51740000000001</v>
      </c>
      <c r="M79" s="4">
        <v>202.37209999999999</v>
      </c>
      <c r="N79" s="4">
        <v>202.37209999999999</v>
      </c>
      <c r="O79" s="4">
        <v>66.711600000000004</v>
      </c>
      <c r="P79" s="4">
        <v>-71.200999999999993</v>
      </c>
      <c r="Q79" s="4">
        <v>78506.734299999996</v>
      </c>
      <c r="R79" s="4">
        <v>34822.1535</v>
      </c>
      <c r="S79" s="4">
        <v>31249.411700000001</v>
      </c>
      <c r="T79" s="4">
        <v>3572.7417999999998</v>
      </c>
      <c r="U79" s="4">
        <v>39373.451000000001</v>
      </c>
      <c r="V79" s="4">
        <v>38785.743799999997</v>
      </c>
      <c r="W79" s="4">
        <v>587.70719999999994</v>
      </c>
      <c r="X79" s="4">
        <v>2817.7891</v>
      </c>
      <c r="Y79" s="4">
        <v>1E-3</v>
      </c>
      <c r="Z79" s="4">
        <v>2817.7881000000002</v>
      </c>
      <c r="AA79" s="4">
        <v>1452.6088</v>
      </c>
      <c r="AB79" s="4">
        <v>1452.6088</v>
      </c>
      <c r="AC79" s="4">
        <v>40.731999999999999</v>
      </c>
    </row>
    <row r="80" spans="1:29" x14ac:dyDescent="0.2">
      <c r="A80" s="3">
        <v>44531</v>
      </c>
      <c r="B80" s="4">
        <v>78816.291100000002</v>
      </c>
      <c r="C80" s="4">
        <v>2990.1068</v>
      </c>
      <c r="D80" s="4">
        <v>4282.8548000000001</v>
      </c>
      <c r="E80" s="4">
        <v>814.44780000000003</v>
      </c>
      <c r="F80" s="4">
        <v>3468.4070000000002</v>
      </c>
      <c r="G80" s="5">
        <v>41960.906600000002</v>
      </c>
      <c r="H80" s="4">
        <v>41960.906600000002</v>
      </c>
      <c r="I80" s="4">
        <v>0</v>
      </c>
      <c r="J80" s="5">
        <v>29317.337100000001</v>
      </c>
      <c r="K80" s="4">
        <v>28966.5344</v>
      </c>
      <c r="L80" s="4">
        <v>350.80279999999999</v>
      </c>
      <c r="M80" s="4">
        <v>215.39570000000001</v>
      </c>
      <c r="N80" s="4">
        <v>215.39570000000001</v>
      </c>
      <c r="O80" s="4">
        <v>49.690100000000001</v>
      </c>
      <c r="P80" s="4">
        <v>-66.440200000000004</v>
      </c>
      <c r="Q80" s="4">
        <v>78882.731299999999</v>
      </c>
      <c r="R80" s="4">
        <v>29718.307499999999</v>
      </c>
      <c r="S80" s="4">
        <v>28598.2935</v>
      </c>
      <c r="T80" s="4">
        <v>1120.0141000000001</v>
      </c>
      <c r="U80" s="4">
        <v>42852.829599999997</v>
      </c>
      <c r="V80" s="4">
        <v>42250.438300000002</v>
      </c>
      <c r="W80" s="4">
        <v>602.3913</v>
      </c>
      <c r="X80" s="4">
        <v>3017.6098999999999</v>
      </c>
      <c r="Y80" s="4">
        <v>4.0000000000000001E-3</v>
      </c>
      <c r="Z80" s="4">
        <v>3017.6059</v>
      </c>
      <c r="AA80" s="4">
        <v>3251.7748000000001</v>
      </c>
      <c r="AB80" s="4">
        <v>3251.7748000000001</v>
      </c>
      <c r="AC80" s="4">
        <v>42.209600000000002</v>
      </c>
    </row>
    <row r="81" spans="1:29" x14ac:dyDescent="0.2">
      <c r="A81" s="3">
        <v>44621</v>
      </c>
      <c r="B81" s="4">
        <v>73615.070900000006</v>
      </c>
      <c r="C81" s="4">
        <v>2478.2806999999998</v>
      </c>
      <c r="D81" s="4">
        <v>2976.8807999999999</v>
      </c>
      <c r="E81" s="4">
        <v>946.42200000000003</v>
      </c>
      <c r="F81" s="4">
        <v>2030.4589000000001</v>
      </c>
      <c r="G81" s="5">
        <v>38220.974600000001</v>
      </c>
      <c r="H81" s="4">
        <v>38220.974600000001</v>
      </c>
      <c r="I81" s="4">
        <v>0</v>
      </c>
      <c r="J81" s="5">
        <v>29322.092199999999</v>
      </c>
      <c r="K81" s="4">
        <v>28966.400799999999</v>
      </c>
      <c r="L81" s="4">
        <v>355.69139999999999</v>
      </c>
      <c r="M81" s="4">
        <v>590.69920000000002</v>
      </c>
      <c r="N81" s="4">
        <v>590.69920000000002</v>
      </c>
      <c r="O81" s="4">
        <v>26.1434</v>
      </c>
      <c r="P81" s="4">
        <v>-67.496399999999994</v>
      </c>
      <c r="Q81" s="4">
        <v>73682.567299999995</v>
      </c>
      <c r="R81" s="4">
        <v>45045.510699999999</v>
      </c>
      <c r="S81" s="4">
        <v>44791.750999999997</v>
      </c>
      <c r="T81" s="4">
        <v>253.75960000000001</v>
      </c>
      <c r="U81" s="4">
        <v>26681.9728</v>
      </c>
      <c r="V81" s="4">
        <v>26347.451000000001</v>
      </c>
      <c r="W81" s="4">
        <v>334.52179999999998</v>
      </c>
      <c r="X81" s="4">
        <v>2709.0499</v>
      </c>
      <c r="Y81" s="4">
        <v>2.8E-3</v>
      </c>
      <c r="Z81" s="4">
        <v>2709.0470999999998</v>
      </c>
      <c r="AA81" s="4">
        <v>-792.17550000000006</v>
      </c>
      <c r="AB81" s="4">
        <v>-792.17550000000006</v>
      </c>
      <c r="AC81" s="4">
        <v>38.209400000000002</v>
      </c>
    </row>
    <row r="82" spans="1:29" x14ac:dyDescent="0.2">
      <c r="A82" s="3">
        <v>44713</v>
      </c>
      <c r="B82" s="4">
        <v>77803.041899999997</v>
      </c>
      <c r="C82" s="4">
        <v>3030.9362000000001</v>
      </c>
      <c r="D82" s="4">
        <v>2573.2865000000002</v>
      </c>
      <c r="E82" s="4">
        <v>1021.1575</v>
      </c>
      <c r="F82" s="4">
        <v>1552.1289999999999</v>
      </c>
      <c r="G82" s="5">
        <v>42163.082300000002</v>
      </c>
      <c r="H82" s="4">
        <v>42163.082300000002</v>
      </c>
      <c r="I82" s="4">
        <v>0</v>
      </c>
      <c r="J82" s="5">
        <v>29336.882000000001</v>
      </c>
      <c r="K82" s="4">
        <v>28966.837800000001</v>
      </c>
      <c r="L82" s="4">
        <v>370.04419999999999</v>
      </c>
      <c r="M82" s="4">
        <v>686.53129999999999</v>
      </c>
      <c r="N82" s="4">
        <v>686.53129999999999</v>
      </c>
      <c r="O82" s="4">
        <v>12.323700000000001</v>
      </c>
      <c r="P82" s="4">
        <v>-65.332899999999995</v>
      </c>
      <c r="Q82" s="4">
        <v>77868.374800000005</v>
      </c>
      <c r="R82" s="4">
        <v>26395.2588</v>
      </c>
      <c r="S82" s="4">
        <v>25831.468099999998</v>
      </c>
      <c r="T82" s="4">
        <v>563.79070000000002</v>
      </c>
      <c r="U82" s="4">
        <v>45224.818599999999</v>
      </c>
      <c r="V82" s="4">
        <v>44869.054900000003</v>
      </c>
      <c r="W82" s="4">
        <v>355.76369999999997</v>
      </c>
      <c r="X82" s="4">
        <v>3043.3802999999998</v>
      </c>
      <c r="Y82" s="4">
        <v>2.2000000000000001E-3</v>
      </c>
      <c r="Z82" s="4">
        <v>3043.3780999999999</v>
      </c>
      <c r="AA82" s="4">
        <v>3168.04</v>
      </c>
      <c r="AB82" s="4">
        <v>3168.04</v>
      </c>
      <c r="AC82" s="4">
        <v>36.877099999999999</v>
      </c>
    </row>
    <row r="83" spans="1:29" x14ac:dyDescent="0.2">
      <c r="A83" s="3">
        <v>44805</v>
      </c>
      <c r="B83" s="4">
        <v>71876.852700000003</v>
      </c>
      <c r="C83" s="4">
        <v>3012.3112999999998</v>
      </c>
      <c r="D83" s="4">
        <v>1873.9115999999999</v>
      </c>
      <c r="E83" s="4">
        <v>981.48590000000002</v>
      </c>
      <c r="F83" s="4">
        <v>892.42560000000003</v>
      </c>
      <c r="G83" s="5">
        <v>36612.260699999999</v>
      </c>
      <c r="H83" s="4">
        <v>36612.260699999999</v>
      </c>
      <c r="I83" s="4">
        <v>-386.49860000000001</v>
      </c>
      <c r="J83" s="5">
        <v>29977.287700000001</v>
      </c>
      <c r="K83" s="4">
        <v>29595.667000000001</v>
      </c>
      <c r="L83" s="4">
        <v>381.6207</v>
      </c>
      <c r="M83" s="4">
        <v>715.24670000000003</v>
      </c>
      <c r="N83" s="4">
        <v>715.24670000000003</v>
      </c>
      <c r="O83" s="4">
        <v>72.333299999999994</v>
      </c>
      <c r="P83" s="4">
        <v>-58.710099999999997</v>
      </c>
      <c r="Q83" s="4">
        <v>71935.562699999995</v>
      </c>
      <c r="R83" s="4">
        <v>28351.6607</v>
      </c>
      <c r="S83" s="4">
        <v>27868.751799999998</v>
      </c>
      <c r="T83" s="4">
        <v>482.90890000000002</v>
      </c>
      <c r="U83" s="4">
        <v>38588.273500000003</v>
      </c>
      <c r="V83" s="4">
        <v>38369.918100000003</v>
      </c>
      <c r="W83" s="4">
        <v>218.3554</v>
      </c>
      <c r="X83" s="4">
        <v>3085.4191000000001</v>
      </c>
      <c r="Y83" s="4">
        <v>1.1999999999999999E-3</v>
      </c>
      <c r="Z83" s="4">
        <v>3085.4180000000001</v>
      </c>
      <c r="AA83" s="4">
        <v>1863.4255000000001</v>
      </c>
      <c r="AB83" s="4">
        <v>1863.4255000000001</v>
      </c>
      <c r="AC83" s="4">
        <v>46.783900000000003</v>
      </c>
    </row>
    <row r="84" spans="1:29" x14ac:dyDescent="0.2">
      <c r="A84" s="3">
        <v>44896</v>
      </c>
      <c r="B84" s="4">
        <v>68663.986300000004</v>
      </c>
      <c r="C84" s="4">
        <v>2818.9823999999999</v>
      </c>
      <c r="D84" s="4">
        <v>2200.4304999999999</v>
      </c>
      <c r="E84" s="4">
        <v>1060.5101999999999</v>
      </c>
      <c r="F84" s="4">
        <v>1139.9203</v>
      </c>
      <c r="G84" s="5">
        <v>33556.546000000002</v>
      </c>
      <c r="H84" s="4">
        <v>33556.546000000002</v>
      </c>
      <c r="I84" s="4">
        <v>135.68799999999999</v>
      </c>
      <c r="J84" s="5">
        <v>29266.348699999999</v>
      </c>
      <c r="K84" s="4">
        <v>28951.1564</v>
      </c>
      <c r="L84" s="4">
        <v>315.19229999999999</v>
      </c>
      <c r="M84" s="4">
        <v>640.59760000000006</v>
      </c>
      <c r="N84" s="4">
        <v>640.59760000000006</v>
      </c>
      <c r="O84" s="4">
        <v>45.393099999999997</v>
      </c>
      <c r="P84" s="4">
        <v>-55.191800000000001</v>
      </c>
      <c r="Q84" s="4">
        <v>68719.178100000005</v>
      </c>
      <c r="R84" s="4">
        <v>28747.378700000001</v>
      </c>
      <c r="S84" s="4">
        <v>28206.0916</v>
      </c>
      <c r="T84" s="4">
        <v>541.28710000000001</v>
      </c>
      <c r="U84" s="4">
        <v>38073.736799999999</v>
      </c>
      <c r="V84" s="4">
        <v>37840.582999999999</v>
      </c>
      <c r="W84" s="4">
        <v>233.15389999999999</v>
      </c>
      <c r="X84" s="4">
        <v>2884.8015999999998</v>
      </c>
      <c r="Y84" s="4">
        <v>4.1000000000000003E-3</v>
      </c>
      <c r="Z84" s="4">
        <v>2884.7975000000001</v>
      </c>
      <c r="AA84" s="4">
        <v>-1023.7432</v>
      </c>
      <c r="AB84" s="4">
        <v>-1023.7432</v>
      </c>
      <c r="AC84" s="4">
        <v>37.004199999999997</v>
      </c>
    </row>
    <row r="85" spans="1:29" x14ac:dyDescent="0.2">
      <c r="A85" s="3">
        <v>44986</v>
      </c>
      <c r="B85" s="4">
        <v>65868.463499999998</v>
      </c>
      <c r="C85" s="4">
        <v>2602.6489999999999</v>
      </c>
      <c r="D85" s="4">
        <v>1742.7784999999999</v>
      </c>
      <c r="E85" s="4">
        <v>976.16690000000006</v>
      </c>
      <c r="F85" s="4">
        <v>766.61159999999995</v>
      </c>
      <c r="G85" s="5">
        <v>31468.950099999998</v>
      </c>
      <c r="H85" s="4">
        <v>31468.950099999998</v>
      </c>
      <c r="I85" s="4">
        <v>190.14179999999999</v>
      </c>
      <c r="J85" s="5">
        <v>29245.493900000001</v>
      </c>
      <c r="K85" s="4">
        <v>28932.1685</v>
      </c>
      <c r="L85" s="4">
        <v>313.3254</v>
      </c>
      <c r="M85" s="4">
        <v>589.61</v>
      </c>
      <c r="N85" s="4">
        <v>589.61</v>
      </c>
      <c r="O85" s="4">
        <v>28.840199999999999</v>
      </c>
      <c r="P85" s="4">
        <v>-55.253</v>
      </c>
      <c r="Q85" s="4">
        <v>65923.716499999995</v>
      </c>
      <c r="R85" s="4">
        <v>25931.413400000001</v>
      </c>
      <c r="S85" s="4">
        <v>25659.5504</v>
      </c>
      <c r="T85" s="4">
        <v>271.86290000000002</v>
      </c>
      <c r="U85" s="4">
        <v>40670.404300000002</v>
      </c>
      <c r="V85" s="4">
        <v>40580.894200000002</v>
      </c>
      <c r="W85" s="4">
        <v>89.510099999999994</v>
      </c>
      <c r="X85" s="4">
        <v>2657.1563999999998</v>
      </c>
      <c r="Y85" s="4">
        <v>2.8E-3</v>
      </c>
      <c r="Z85" s="4">
        <v>2657.1536000000001</v>
      </c>
      <c r="AA85" s="4">
        <v>-3378.7541000000001</v>
      </c>
      <c r="AB85" s="4">
        <v>-3378.7541000000001</v>
      </c>
      <c r="AC85" s="4">
        <v>43.496499999999997</v>
      </c>
    </row>
    <row r="86" spans="1:29" x14ac:dyDescent="0.2">
      <c r="A86" s="3">
        <v>45078</v>
      </c>
      <c r="B86" s="4">
        <v>66098.611199999999</v>
      </c>
      <c r="C86" s="4">
        <v>2696.723</v>
      </c>
      <c r="D86" s="4">
        <v>1745.0027</v>
      </c>
      <c r="E86" s="4">
        <v>1032.4339</v>
      </c>
      <c r="F86" s="4">
        <v>712.56880000000001</v>
      </c>
      <c r="G86" s="5">
        <v>31796.806700000001</v>
      </c>
      <c r="H86" s="4">
        <v>31796.806700000001</v>
      </c>
      <c r="I86" s="4">
        <v>-8.1655999999999995</v>
      </c>
      <c r="J86" s="5">
        <v>29250.440699999999</v>
      </c>
      <c r="K86" s="4">
        <v>28932.592000000001</v>
      </c>
      <c r="L86" s="4">
        <v>317.84879999999998</v>
      </c>
      <c r="M86" s="4">
        <v>602.86329999999998</v>
      </c>
      <c r="N86" s="4">
        <v>602.86329999999998</v>
      </c>
      <c r="O86" s="4">
        <v>14.940300000000001</v>
      </c>
      <c r="P86" s="4">
        <v>-49.601599999999998</v>
      </c>
      <c r="Q86" s="4">
        <v>66148.212799999994</v>
      </c>
      <c r="R86" s="4">
        <v>25171.783200000002</v>
      </c>
      <c r="S86" s="4">
        <v>24844.932499999999</v>
      </c>
      <c r="T86" s="4">
        <v>326.85070000000002</v>
      </c>
      <c r="U86" s="4">
        <v>42867.662300000004</v>
      </c>
      <c r="V86" s="4">
        <v>42797.551299999999</v>
      </c>
      <c r="W86" s="4">
        <v>70.111000000000004</v>
      </c>
      <c r="X86" s="4">
        <v>2673.9713000000002</v>
      </c>
      <c r="Y86" s="4">
        <v>1.9E-3</v>
      </c>
      <c r="Z86" s="4">
        <v>2673.9694</v>
      </c>
      <c r="AA86" s="4">
        <v>-4609.0200000000004</v>
      </c>
      <c r="AB86" s="4">
        <v>-4609.0200000000004</v>
      </c>
      <c r="AC86" s="4">
        <v>43.816000000000003</v>
      </c>
    </row>
    <row r="87" spans="1:29" x14ac:dyDescent="0.2">
      <c r="A87" s="3">
        <v>45170</v>
      </c>
      <c r="B87" s="4">
        <v>71778.352100000004</v>
      </c>
      <c r="C87" s="4">
        <v>3022.8096999999998</v>
      </c>
      <c r="D87" s="4">
        <v>1752.117</v>
      </c>
      <c r="E87" s="4">
        <v>978.81129999999996</v>
      </c>
      <c r="F87" s="4">
        <v>773.3057</v>
      </c>
      <c r="G87" s="5">
        <v>36989.713100000001</v>
      </c>
      <c r="H87" s="4">
        <v>36989.713100000001</v>
      </c>
      <c r="I87" s="4">
        <v>-70.125399999999999</v>
      </c>
      <c r="J87" s="5">
        <v>29343.495900000002</v>
      </c>
      <c r="K87" s="4">
        <v>29025.0684</v>
      </c>
      <c r="L87" s="4">
        <v>318.42759999999998</v>
      </c>
      <c r="M87" s="4">
        <v>679.25980000000004</v>
      </c>
      <c r="N87" s="4">
        <v>679.25980000000004</v>
      </c>
      <c r="O87" s="4">
        <v>61.082000000000001</v>
      </c>
      <c r="P87" s="4">
        <v>-45.382399999999997</v>
      </c>
      <c r="Q87" s="4">
        <v>71823.734500000006</v>
      </c>
      <c r="R87" s="4">
        <v>22984.046999999999</v>
      </c>
      <c r="S87" s="4">
        <v>22728.125599999999</v>
      </c>
      <c r="T87" s="4">
        <v>255.92140000000001</v>
      </c>
      <c r="U87" s="4">
        <v>48608.785300000003</v>
      </c>
      <c r="V87" s="4">
        <v>48528.3606</v>
      </c>
      <c r="W87" s="4">
        <v>80.424700000000001</v>
      </c>
      <c r="X87" s="4">
        <v>2987.9276</v>
      </c>
      <c r="Y87" s="4">
        <v>1.1000000000000001E-3</v>
      </c>
      <c r="Z87" s="4">
        <v>2987.9265</v>
      </c>
      <c r="AA87" s="4">
        <v>-2798.2759999999998</v>
      </c>
      <c r="AB87" s="4">
        <v>-2798.2759999999998</v>
      </c>
      <c r="AC87" s="4">
        <v>41.250500000000002</v>
      </c>
    </row>
    <row r="88" spans="1:29" x14ac:dyDescent="0.2">
      <c r="A88" s="3">
        <v>45261</v>
      </c>
      <c r="B88" s="4">
        <v>75069.546199999997</v>
      </c>
      <c r="C88" s="4">
        <v>2980.2642999999998</v>
      </c>
      <c r="D88" s="4">
        <v>5009.8701000000001</v>
      </c>
      <c r="E88" s="4">
        <v>2182.0976000000001</v>
      </c>
      <c r="F88" s="4">
        <v>2827.7725</v>
      </c>
      <c r="G88" s="5">
        <v>37154.4228</v>
      </c>
      <c r="H88" s="4">
        <v>37154.4228</v>
      </c>
      <c r="I88" s="4">
        <v>-24.731000000000002</v>
      </c>
      <c r="J88" s="5">
        <v>29237.752199999999</v>
      </c>
      <c r="K88" s="4">
        <v>28933.0458</v>
      </c>
      <c r="L88" s="4">
        <v>304.70639999999997</v>
      </c>
      <c r="M88" s="4">
        <v>665.33159999999998</v>
      </c>
      <c r="N88" s="4">
        <v>665.33159999999998</v>
      </c>
      <c r="O88" s="4">
        <v>46.636200000000002</v>
      </c>
      <c r="P88" s="4">
        <v>-48.237000000000002</v>
      </c>
      <c r="Q88" s="4">
        <v>75117.783200000005</v>
      </c>
      <c r="R88" s="4">
        <v>34569.262199999997</v>
      </c>
      <c r="S88" s="4">
        <v>32438.465</v>
      </c>
      <c r="T88" s="4">
        <v>2130.7972</v>
      </c>
      <c r="U88" s="4">
        <v>40854.135399999999</v>
      </c>
      <c r="V88" s="4">
        <v>40767.238899999997</v>
      </c>
      <c r="W88" s="4">
        <v>86.896600000000007</v>
      </c>
      <c r="X88" s="4">
        <v>2935.9776999999999</v>
      </c>
      <c r="Y88" s="4">
        <v>4.3E-3</v>
      </c>
      <c r="Z88" s="4">
        <v>2935.9733999999999</v>
      </c>
      <c r="AA88" s="4">
        <v>-3273.9391999999998</v>
      </c>
      <c r="AB88" s="4">
        <v>-3273.9391999999998</v>
      </c>
      <c r="AC88" s="4">
        <v>32.347000000000001</v>
      </c>
    </row>
    <row r="89" spans="1:29" x14ac:dyDescent="0.2">
      <c r="A89" s="3">
        <v>45352</v>
      </c>
      <c r="B89" s="4">
        <v>78940.565100000007</v>
      </c>
      <c r="C89" s="4">
        <v>3386.5381000000002</v>
      </c>
      <c r="D89" s="4">
        <v>4901.5595000000003</v>
      </c>
      <c r="E89" s="4">
        <v>2122.0245</v>
      </c>
      <c r="F89" s="4">
        <v>2779.5351000000001</v>
      </c>
      <c r="G89" s="5">
        <v>40673.368600000002</v>
      </c>
      <c r="H89" s="4">
        <v>40673.368600000002</v>
      </c>
      <c r="I89" s="4">
        <v>-39.8827</v>
      </c>
      <c r="J89" s="5">
        <v>29243.8573</v>
      </c>
      <c r="K89" s="4">
        <v>28933.1139</v>
      </c>
      <c r="L89" s="4">
        <v>310.74349999999998</v>
      </c>
      <c r="M89" s="4">
        <v>740.91809999999998</v>
      </c>
      <c r="N89" s="4">
        <v>740.91809999999998</v>
      </c>
      <c r="O89" s="4">
        <v>34.206200000000003</v>
      </c>
      <c r="P89" s="4">
        <v>-47.212299999999999</v>
      </c>
      <c r="Q89" s="4">
        <v>78987.777400000006</v>
      </c>
      <c r="R89" s="4">
        <v>45842.306299999997</v>
      </c>
      <c r="S89" s="4">
        <v>43553.276700000002</v>
      </c>
      <c r="T89" s="4">
        <v>2289.0295999999998</v>
      </c>
      <c r="U89" s="4">
        <v>30612.414100000002</v>
      </c>
      <c r="V89" s="4">
        <v>30513.431</v>
      </c>
      <c r="W89" s="4">
        <v>98.983199999999997</v>
      </c>
      <c r="X89" s="4">
        <v>3257.4097999999999</v>
      </c>
      <c r="Y89" s="4">
        <v>2E-3</v>
      </c>
      <c r="Z89" s="4">
        <v>3257.4078</v>
      </c>
      <c r="AA89" s="4">
        <v>-753.12689999999998</v>
      </c>
      <c r="AB89" s="4">
        <v>-753.12689999999998</v>
      </c>
      <c r="AC89" s="4">
        <v>28.774100000000001</v>
      </c>
    </row>
    <row r="90" spans="1:29" x14ac:dyDescent="0.2">
      <c r="A90" s="3">
        <v>45444</v>
      </c>
      <c r="B90" s="4">
        <v>57552.429199999999</v>
      </c>
      <c r="C90" s="4">
        <v>3303.3389000000002</v>
      </c>
      <c r="D90" s="4">
        <v>3968.3571999999999</v>
      </c>
      <c r="E90" s="4">
        <v>1292.2112</v>
      </c>
      <c r="F90" s="4">
        <v>2676.1460000000002</v>
      </c>
      <c r="G90" s="5">
        <v>38540.945500000002</v>
      </c>
      <c r="H90" s="4">
        <v>38540.945500000002</v>
      </c>
      <c r="I90" s="4">
        <v>-72.568200000000004</v>
      </c>
      <c r="J90" s="5">
        <v>11075.432199999999</v>
      </c>
      <c r="K90" s="4">
        <v>10762.525900000001</v>
      </c>
      <c r="L90" s="4">
        <v>312.90620000000001</v>
      </c>
      <c r="M90" s="4">
        <v>720.26059999999995</v>
      </c>
      <c r="N90" s="4">
        <v>720.26059999999995</v>
      </c>
      <c r="O90" s="4">
        <v>16.663</v>
      </c>
      <c r="P90" s="4">
        <v>-43.71</v>
      </c>
      <c r="Q90" s="4">
        <v>57596.139199999998</v>
      </c>
      <c r="R90" s="4">
        <v>34127.984900000003</v>
      </c>
      <c r="S90" s="4">
        <v>33861.424200000001</v>
      </c>
      <c r="T90" s="4">
        <v>266.5607</v>
      </c>
      <c r="U90" s="4">
        <v>22532.3704</v>
      </c>
      <c r="V90" s="4">
        <v>22440.948</v>
      </c>
      <c r="W90" s="4">
        <v>91.422399999999996</v>
      </c>
      <c r="X90" s="4">
        <v>3134.3285000000001</v>
      </c>
      <c r="Y90" s="4">
        <v>1.1999999999999999E-3</v>
      </c>
      <c r="Z90" s="4">
        <v>3134.3272999999999</v>
      </c>
      <c r="AA90" s="4">
        <v>-2225.5129000000002</v>
      </c>
      <c r="AB90" s="4">
        <v>-2225.5129000000002</v>
      </c>
      <c r="AC90" s="4">
        <v>26.968299999999999</v>
      </c>
    </row>
    <row r="91" spans="1:29" x14ac:dyDescent="0.2">
      <c r="A91" s="3">
        <v>45536</v>
      </c>
      <c r="B91" s="4">
        <v>46758.657200000001</v>
      </c>
      <c r="C91" s="4">
        <v>3164.5915</v>
      </c>
      <c r="D91" s="4">
        <v>3418.3501000000001</v>
      </c>
      <c r="E91" s="4">
        <v>1170.2932000000001</v>
      </c>
      <c r="F91" s="4">
        <v>2248.0569</v>
      </c>
      <c r="G91" s="5">
        <v>38203.292099999999</v>
      </c>
      <c r="H91" s="4">
        <v>38203.292099999999</v>
      </c>
      <c r="I91" s="4">
        <v>70.888999999999996</v>
      </c>
      <c r="J91" s="5">
        <v>1150.336</v>
      </c>
      <c r="K91" s="4">
        <v>833.07320000000004</v>
      </c>
      <c r="L91" s="4">
        <v>317.26280000000003</v>
      </c>
      <c r="M91" s="4">
        <v>711.62099999999998</v>
      </c>
      <c r="N91" s="4">
        <v>711.62099999999998</v>
      </c>
      <c r="O91" s="4">
        <v>39.577500000000001</v>
      </c>
      <c r="P91" s="4">
        <v>-51.555100000000003</v>
      </c>
      <c r="Q91" s="4">
        <v>46810.212299999999</v>
      </c>
      <c r="R91" s="4">
        <v>24587.847600000001</v>
      </c>
      <c r="S91" s="4">
        <v>24378.756399999998</v>
      </c>
      <c r="T91" s="4">
        <v>209.09119999999999</v>
      </c>
      <c r="U91" s="4">
        <v>22273.102800000001</v>
      </c>
      <c r="V91" s="4">
        <v>22179.662199999999</v>
      </c>
      <c r="W91" s="4">
        <v>93.440600000000003</v>
      </c>
      <c r="X91" s="4">
        <v>3044.4985999999999</v>
      </c>
      <c r="Y91" s="4">
        <v>5.9999999999999995E-4</v>
      </c>
      <c r="Z91" s="4">
        <v>3044.498</v>
      </c>
      <c r="AA91" s="4">
        <v>-3121.9198999999999</v>
      </c>
      <c r="AB91" s="4">
        <v>-3121.9198999999999</v>
      </c>
      <c r="AC91" s="4">
        <v>26.683199999999999</v>
      </c>
    </row>
    <row r="92" spans="1:29" x14ac:dyDescent="0.2">
      <c r="A92" s="3">
        <v>45627</v>
      </c>
      <c r="B92" s="4">
        <v>49355.640200000002</v>
      </c>
      <c r="C92" s="4">
        <v>3406.4009000000001</v>
      </c>
      <c r="D92" s="4">
        <v>2365.6311000000001</v>
      </c>
      <c r="E92" s="4">
        <v>1191.2302999999999</v>
      </c>
      <c r="F92" s="4">
        <v>1174.4007999999999</v>
      </c>
      <c r="G92" s="5">
        <v>41740.678699999997</v>
      </c>
      <c r="H92" s="4">
        <v>41740.678699999997</v>
      </c>
      <c r="I92" s="4">
        <v>-27.090699999999998</v>
      </c>
      <c r="J92" s="5">
        <v>1053.3514</v>
      </c>
      <c r="K92" s="4">
        <v>753.13300000000004</v>
      </c>
      <c r="L92" s="4">
        <v>300.21839999999997</v>
      </c>
      <c r="M92" s="4">
        <v>786.0308</v>
      </c>
      <c r="N92" s="4">
        <v>786.0308</v>
      </c>
      <c r="O92" s="4">
        <v>30.637899999999998</v>
      </c>
      <c r="P92" s="4">
        <v>-48.701000000000001</v>
      </c>
      <c r="Q92" s="4">
        <v>49404.341200000003</v>
      </c>
      <c r="R92" s="4">
        <v>24065.031500000001</v>
      </c>
      <c r="S92" s="4">
        <v>23835.4506</v>
      </c>
      <c r="T92" s="4">
        <v>229.58080000000001</v>
      </c>
      <c r="U92" s="4">
        <v>22745.394100000001</v>
      </c>
      <c r="V92" s="4">
        <v>22652.383000000002</v>
      </c>
      <c r="W92" s="4">
        <v>93.011099999999999</v>
      </c>
      <c r="X92" s="4">
        <v>3234.8869</v>
      </c>
      <c r="Y92" s="4">
        <v>2.5000000000000001E-3</v>
      </c>
      <c r="Z92" s="4">
        <v>3234.8845000000001</v>
      </c>
      <c r="AA92" s="4">
        <v>-678.31560000000002</v>
      </c>
      <c r="AB92" s="4">
        <v>-678.31560000000002</v>
      </c>
      <c r="AC92" s="4">
        <v>37.3444</v>
      </c>
    </row>
    <row r="93" spans="1:29" x14ac:dyDescent="0.2">
      <c r="A93" s="3">
        <v>45717</v>
      </c>
      <c r="B93" s="4">
        <v>46974.936699999998</v>
      </c>
      <c r="C93" s="4">
        <v>3302.5450999999998</v>
      </c>
      <c r="D93" s="4">
        <v>1615.0911000000001</v>
      </c>
      <c r="E93" s="4">
        <v>968.65139999999997</v>
      </c>
      <c r="F93" s="4">
        <v>646.43970000000002</v>
      </c>
      <c r="G93" s="5">
        <v>40958.7929</v>
      </c>
      <c r="H93" s="4">
        <v>40958.7929</v>
      </c>
      <c r="I93" s="4">
        <v>-47.202800000000003</v>
      </c>
      <c r="J93" s="5">
        <v>366.77499999999998</v>
      </c>
      <c r="K93" s="4">
        <v>62.518900000000002</v>
      </c>
      <c r="L93" s="4">
        <v>304.25619999999998</v>
      </c>
      <c r="M93" s="4">
        <v>756.08420000000001</v>
      </c>
      <c r="N93" s="4">
        <v>756.08420000000001</v>
      </c>
      <c r="O93" s="4">
        <v>22.851199999999999</v>
      </c>
      <c r="P93" s="4">
        <v>-47.478000000000002</v>
      </c>
      <c r="Q93" s="4">
        <v>47022.414799999999</v>
      </c>
      <c r="R93" s="4">
        <v>21963.857199999999</v>
      </c>
      <c r="S93" s="4">
        <v>21817.865399999999</v>
      </c>
      <c r="T93" s="4">
        <v>145.99180000000001</v>
      </c>
      <c r="U93" s="4">
        <v>23771.496999999999</v>
      </c>
      <c r="V93" s="4">
        <v>23680.621500000001</v>
      </c>
      <c r="W93" s="4">
        <v>90.875500000000002</v>
      </c>
      <c r="X93" s="4">
        <v>3144.4229999999998</v>
      </c>
      <c r="Y93" s="4">
        <v>1.1999999999999999E-3</v>
      </c>
      <c r="Z93" s="4">
        <v>3144.4218000000001</v>
      </c>
      <c r="AA93" s="4">
        <v>-1887.202</v>
      </c>
      <c r="AB93" s="4">
        <v>-1887.202</v>
      </c>
      <c r="AC93" s="4">
        <v>29.839500000000001</v>
      </c>
    </row>
    <row r="94" spans="1:29" x14ac:dyDescent="0.2">
      <c r="A94" s="3">
        <v>45809</v>
      </c>
      <c r="B94" s="4">
        <v>48749.997900000002</v>
      </c>
      <c r="C94" s="4">
        <v>3379.8119999999999</v>
      </c>
      <c r="D94" s="4">
        <v>1632.4953</v>
      </c>
      <c r="E94" s="4">
        <v>1038.1168</v>
      </c>
      <c r="F94" s="4">
        <v>594.37850000000003</v>
      </c>
      <c r="G94" s="5">
        <v>41584.4274</v>
      </c>
      <c r="H94" s="4">
        <v>41584.4274</v>
      </c>
      <c r="I94" s="4">
        <v>3.5301999999999998</v>
      </c>
      <c r="J94" s="5">
        <v>1354.154</v>
      </c>
      <c r="K94" s="4">
        <v>1047.1679999999999</v>
      </c>
      <c r="L94" s="4">
        <v>306.98599999999999</v>
      </c>
      <c r="M94" s="4">
        <v>781.90610000000004</v>
      </c>
      <c r="N94" s="4">
        <v>781.90610000000004</v>
      </c>
      <c r="O94" s="4">
        <v>13.6729</v>
      </c>
      <c r="P94" s="4">
        <v>-46.914200000000001</v>
      </c>
      <c r="Q94" s="4">
        <v>48796.912100000001</v>
      </c>
      <c r="R94" s="4">
        <v>22659.528399999999</v>
      </c>
      <c r="S94" s="4">
        <v>22424.0622</v>
      </c>
      <c r="T94" s="4">
        <v>235.46619999999999</v>
      </c>
      <c r="U94" s="4">
        <v>24471.9948</v>
      </c>
      <c r="V94" s="4">
        <v>24379.860700000001</v>
      </c>
      <c r="W94" s="4">
        <v>92.134100000000004</v>
      </c>
      <c r="X94" s="4">
        <v>3215.7393999999999</v>
      </c>
      <c r="Y94" s="4">
        <v>6.9999999999999999E-4</v>
      </c>
      <c r="Z94" s="4">
        <v>3215.7386999999999</v>
      </c>
      <c r="AA94" s="4">
        <v>-1579.9146000000001</v>
      </c>
      <c r="AB94" s="4">
        <v>-1579.9146000000001</v>
      </c>
      <c r="AC94" s="4">
        <v>29.564</v>
      </c>
    </row>
    <row r="95" spans="1:29" x14ac:dyDescent="0.2">
      <c r="A95" s="3">
        <v>45901</v>
      </c>
      <c r="B95" s="4">
        <v>51060.376600000003</v>
      </c>
      <c r="C95" s="4">
        <v>3422.2026999999998</v>
      </c>
      <c r="D95" s="4">
        <v>1749.7406000000001</v>
      </c>
      <c r="E95" s="4">
        <v>1105.0292999999999</v>
      </c>
      <c r="F95" s="4">
        <v>644.71130000000005</v>
      </c>
      <c r="G95" s="5">
        <v>43525.131699999998</v>
      </c>
      <c r="H95" s="4">
        <v>43525.131699999998</v>
      </c>
      <c r="I95" s="4">
        <v>-2.4628000000000001</v>
      </c>
      <c r="J95" s="5">
        <v>1520.1628000000001</v>
      </c>
      <c r="K95" s="4">
        <v>1211.8949</v>
      </c>
      <c r="L95" s="4">
        <v>308.2679</v>
      </c>
      <c r="M95" s="4">
        <v>805.03530000000001</v>
      </c>
      <c r="N95" s="4">
        <v>805.03530000000001</v>
      </c>
      <c r="O95" s="4">
        <v>40.566299999999998</v>
      </c>
      <c r="P95" s="4">
        <v>-49.054400000000001</v>
      </c>
      <c r="Q95" s="4">
        <v>51109.430999999997</v>
      </c>
      <c r="R95" s="4">
        <v>23327.0046</v>
      </c>
      <c r="S95" s="4">
        <v>23190.885600000001</v>
      </c>
      <c r="T95" s="4">
        <v>136.119</v>
      </c>
      <c r="U95" s="4">
        <v>24934.689600000002</v>
      </c>
      <c r="V95" s="4">
        <v>24840.567899999998</v>
      </c>
      <c r="W95" s="4">
        <v>94.121700000000004</v>
      </c>
      <c r="X95" s="4">
        <v>3295.4830999999999</v>
      </c>
      <c r="Y95" s="4">
        <v>2.9999999999999997E-4</v>
      </c>
      <c r="Z95" s="4">
        <v>3295.4828000000002</v>
      </c>
      <c r="AA95" s="4">
        <v>-477.65179999999998</v>
      </c>
      <c r="AB95" s="4">
        <v>-477.65179999999998</v>
      </c>
      <c r="AC95" s="4">
        <v>29.9054</v>
      </c>
    </row>
  </sheetData>
  <mergeCells count="2">
    <mergeCell ref="A1:AC1"/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2C4C-38D9-854F-82EA-57A2B238DF09}">
  <sheetPr>
    <tabColor theme="7"/>
  </sheetPr>
  <dimension ref="A1:AI95"/>
  <sheetViews>
    <sheetView topLeftCell="C1" workbookViewId="0">
      <selection activeCell="D3" sqref="D3"/>
    </sheetView>
  </sheetViews>
  <sheetFormatPr baseColWidth="10" defaultRowHeight="16" x14ac:dyDescent="0.2"/>
  <sheetData>
    <row r="1" spans="1:35" x14ac:dyDescent="0.2">
      <c r="A1" s="7" t="s">
        <v>111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  <c r="AH1" s="7" t="s">
        <v>1</v>
      </c>
      <c r="AI1" s="7" t="s">
        <v>1</v>
      </c>
    </row>
    <row r="2" spans="1:35" x14ac:dyDescent="0.2">
      <c r="A2" s="8" t="s">
        <v>161</v>
      </c>
      <c r="B2" s="8"/>
      <c r="C2" t="s">
        <v>162</v>
      </c>
      <c r="D2" s="1">
        <f>B5-M5-P5-R5</f>
        <v>4012.152900000001</v>
      </c>
      <c r="E2" s="1">
        <f>C5+F5+I5+N5+O5</f>
        <v>4012.1529999999998</v>
      </c>
      <c r="F2" t="s">
        <v>163</v>
      </c>
      <c r="G2" s="1">
        <f>T5-AC5-AE5-AF5-AH5-AI5</f>
        <v>12013.358699999999</v>
      </c>
      <c r="H2" s="1">
        <f>U5+W5+Z5</f>
        <v>12013.358700000001</v>
      </c>
    </row>
    <row r="3" spans="1:35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37</v>
      </c>
      <c r="G3" s="2" t="s">
        <v>8</v>
      </c>
      <c r="H3" s="2" t="s">
        <v>9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116</v>
      </c>
      <c r="N3" s="2" t="s">
        <v>117</v>
      </c>
      <c r="O3" s="2" t="s">
        <v>118</v>
      </c>
      <c r="P3" s="2" t="s">
        <v>119</v>
      </c>
      <c r="Q3" s="2" t="s">
        <v>120</v>
      </c>
      <c r="R3" s="2" t="s">
        <v>121</v>
      </c>
      <c r="S3" s="2" t="s">
        <v>39</v>
      </c>
      <c r="T3" s="2" t="s">
        <v>22</v>
      </c>
      <c r="U3" s="2" t="s">
        <v>23</v>
      </c>
      <c r="V3" s="2" t="s">
        <v>49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122</v>
      </c>
      <c r="AD3" s="2" t="s">
        <v>123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</row>
    <row r="4" spans="1:35" ht="17" x14ac:dyDescent="0.2">
      <c r="A4" s="3">
        <v>37591</v>
      </c>
      <c r="B4" s="4">
        <v>11219.592000000001</v>
      </c>
      <c r="C4" s="4">
        <v>1794.1524999999999</v>
      </c>
      <c r="D4" s="4">
        <v>1281.5645</v>
      </c>
      <c r="E4" s="4">
        <v>512.58799999999997</v>
      </c>
      <c r="F4" s="5">
        <v>41.527900000000002</v>
      </c>
      <c r="G4" s="4">
        <v>0</v>
      </c>
      <c r="H4" s="4">
        <v>41.527900000000002</v>
      </c>
      <c r="I4" s="5">
        <v>1478.9744000000001</v>
      </c>
      <c r="J4" s="4">
        <v>0</v>
      </c>
      <c r="K4" s="4">
        <v>1478.9744000000001</v>
      </c>
      <c r="L4" s="4">
        <v>5247.0844999999999</v>
      </c>
      <c r="M4" s="4">
        <v>5242.9570999999996</v>
      </c>
      <c r="N4" s="4">
        <v>4.1273999999999997</v>
      </c>
      <c r="O4" s="4">
        <v>0</v>
      </c>
      <c r="P4" s="4">
        <v>3.645</v>
      </c>
      <c r="Q4" s="4">
        <v>3.645</v>
      </c>
      <c r="R4" s="4">
        <v>2654.2076999999999</v>
      </c>
      <c r="S4" s="4">
        <v>-1973.0608999999999</v>
      </c>
      <c r="T4" s="4">
        <v>13192.652899999999</v>
      </c>
      <c r="U4" s="4">
        <v>0</v>
      </c>
      <c r="V4" s="4">
        <v>0</v>
      </c>
      <c r="W4" s="4">
        <v>5140.0281999999997</v>
      </c>
      <c r="X4" s="4">
        <v>0</v>
      </c>
      <c r="Y4" s="4">
        <v>5140.0281999999997</v>
      </c>
      <c r="Z4" s="4">
        <v>5938.3279000000002</v>
      </c>
      <c r="AA4" s="4">
        <v>2.93E-2</v>
      </c>
      <c r="AB4" s="4">
        <v>5938.2986000000001</v>
      </c>
      <c r="AC4" s="4">
        <v>2114.2968000000001</v>
      </c>
      <c r="AD4" s="4">
        <v>0</v>
      </c>
      <c r="AE4" s="4">
        <v>0</v>
      </c>
      <c r="AF4" s="4">
        <v>0</v>
      </c>
      <c r="AG4" s="6" t="s">
        <v>1</v>
      </c>
      <c r="AH4" s="6" t="s">
        <v>1</v>
      </c>
      <c r="AI4" s="6" t="s">
        <v>1</v>
      </c>
    </row>
    <row r="5" spans="1:35" x14ac:dyDescent="0.2">
      <c r="A5" s="3">
        <v>37681</v>
      </c>
      <c r="B5" s="4">
        <v>12425.663200000001</v>
      </c>
      <c r="C5" s="4">
        <v>2509.4454999999998</v>
      </c>
      <c r="D5" s="4">
        <v>1923.6306</v>
      </c>
      <c r="E5" s="4">
        <v>585.81489999999997</v>
      </c>
      <c r="F5" s="5">
        <v>45.997100000000003</v>
      </c>
      <c r="G5" s="4">
        <v>0</v>
      </c>
      <c r="H5" s="4">
        <v>45.997100000000003</v>
      </c>
      <c r="I5" s="5">
        <v>1452.1719000000001</v>
      </c>
      <c r="J5" s="4">
        <v>0</v>
      </c>
      <c r="K5" s="4">
        <v>1452.1719000000001</v>
      </c>
      <c r="L5" s="4">
        <v>5632.6395000000002</v>
      </c>
      <c r="M5" s="4">
        <v>5628.1009999999997</v>
      </c>
      <c r="N5" s="4">
        <v>4.5385</v>
      </c>
      <c r="O5" s="4">
        <v>0</v>
      </c>
      <c r="P5" s="4">
        <v>3.5739000000000001</v>
      </c>
      <c r="Q5" s="4">
        <v>3.5739000000000001</v>
      </c>
      <c r="R5" s="4">
        <v>2781.8353999999999</v>
      </c>
      <c r="S5" s="4">
        <v>-1751.6612</v>
      </c>
      <c r="T5" s="4">
        <v>14177.3244</v>
      </c>
      <c r="U5" s="4">
        <v>0</v>
      </c>
      <c r="V5" s="4">
        <v>0</v>
      </c>
      <c r="W5" s="4">
        <v>5956.8991999999998</v>
      </c>
      <c r="X5" s="4">
        <v>0</v>
      </c>
      <c r="Y5" s="4">
        <v>5956.8991999999998</v>
      </c>
      <c r="Z5" s="4">
        <v>6056.4594999999999</v>
      </c>
      <c r="AA5" s="4">
        <v>3.2399999999999998E-2</v>
      </c>
      <c r="AB5" s="4">
        <v>6056.4270999999999</v>
      </c>
      <c r="AC5" s="4">
        <v>2163.9657000000002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x14ac:dyDescent="0.2">
      <c r="A6" s="3">
        <v>37773</v>
      </c>
      <c r="B6" s="4">
        <v>11430.819600000001</v>
      </c>
      <c r="C6" s="4">
        <v>1895.1998000000001</v>
      </c>
      <c r="D6" s="4">
        <v>1129.617</v>
      </c>
      <c r="E6" s="4">
        <v>765.58270000000005</v>
      </c>
      <c r="F6" s="5">
        <v>108.57510000000001</v>
      </c>
      <c r="G6" s="4">
        <v>0</v>
      </c>
      <c r="H6" s="4">
        <v>108.57510000000001</v>
      </c>
      <c r="I6" s="5">
        <v>1466.8810000000001</v>
      </c>
      <c r="J6" s="4">
        <v>0</v>
      </c>
      <c r="K6" s="4">
        <v>1466.8810000000001</v>
      </c>
      <c r="L6" s="4">
        <v>5192.9916000000003</v>
      </c>
      <c r="M6" s="4">
        <v>5188.0374000000002</v>
      </c>
      <c r="N6" s="4">
        <v>4.9542999999999999</v>
      </c>
      <c r="O6" s="4">
        <v>0</v>
      </c>
      <c r="P6" s="4">
        <v>3.7793000000000001</v>
      </c>
      <c r="Q6" s="4">
        <v>3.7793000000000001</v>
      </c>
      <c r="R6" s="4">
        <v>2763.3928999999998</v>
      </c>
      <c r="S6" s="4">
        <v>-2344.5897</v>
      </c>
      <c r="T6" s="4">
        <v>13775.409299999999</v>
      </c>
      <c r="U6" s="4">
        <v>0</v>
      </c>
      <c r="V6" s="4">
        <v>0</v>
      </c>
      <c r="W6" s="4">
        <v>5905.8651</v>
      </c>
      <c r="X6" s="4">
        <v>0</v>
      </c>
      <c r="Y6" s="4">
        <v>5905.8651</v>
      </c>
      <c r="Z6" s="4">
        <v>5602.2449999999999</v>
      </c>
      <c r="AA6" s="4">
        <v>3.56E-2</v>
      </c>
      <c r="AB6" s="4">
        <v>5602.2093000000004</v>
      </c>
      <c r="AC6" s="4">
        <v>2267.2991999999999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">
      <c r="A7" s="3">
        <v>37865</v>
      </c>
      <c r="B7" s="4">
        <v>10794.784799999999</v>
      </c>
      <c r="C7" s="4">
        <v>1516.5854999999999</v>
      </c>
      <c r="D7" s="4">
        <v>1193.5549000000001</v>
      </c>
      <c r="E7" s="4">
        <v>323.03059999999999</v>
      </c>
      <c r="F7" s="5">
        <v>243.3348</v>
      </c>
      <c r="G7" s="4">
        <v>0</v>
      </c>
      <c r="H7" s="4">
        <v>243.3348</v>
      </c>
      <c r="I7" s="5">
        <v>1474.1964</v>
      </c>
      <c r="J7" s="4">
        <v>0</v>
      </c>
      <c r="K7" s="4">
        <v>1474.1964</v>
      </c>
      <c r="L7" s="4">
        <v>4735.2119000000002</v>
      </c>
      <c r="M7" s="4">
        <v>4729.8374000000003</v>
      </c>
      <c r="N7" s="4">
        <v>5.3745000000000003</v>
      </c>
      <c r="O7" s="4">
        <v>0</v>
      </c>
      <c r="P7" s="4">
        <v>3.7574999999999998</v>
      </c>
      <c r="Q7" s="4">
        <v>3.7574999999999998</v>
      </c>
      <c r="R7" s="4">
        <v>2821.6986999999999</v>
      </c>
      <c r="S7" s="4">
        <v>-2741.0272</v>
      </c>
      <c r="T7" s="4">
        <v>13535.812099999999</v>
      </c>
      <c r="U7" s="4">
        <v>0</v>
      </c>
      <c r="V7" s="4">
        <v>0</v>
      </c>
      <c r="W7" s="4">
        <v>5778.2785000000003</v>
      </c>
      <c r="X7" s="4">
        <v>0</v>
      </c>
      <c r="Y7" s="4">
        <v>5778.2785000000003</v>
      </c>
      <c r="Z7" s="4">
        <v>5390.3526000000002</v>
      </c>
      <c r="AA7" s="4">
        <v>3.8800000000000001E-2</v>
      </c>
      <c r="AB7" s="4">
        <v>5390.3136999999997</v>
      </c>
      <c r="AC7" s="4">
        <v>2367.181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">
      <c r="A8" s="3">
        <v>37956</v>
      </c>
      <c r="B8" s="4">
        <v>9435.2129999999997</v>
      </c>
      <c r="C8" s="4">
        <v>1590.4808</v>
      </c>
      <c r="D8" s="4">
        <v>1346.6783</v>
      </c>
      <c r="E8" s="4">
        <v>243.80250000000001</v>
      </c>
      <c r="F8" s="5">
        <v>84.772199999999998</v>
      </c>
      <c r="G8" s="4">
        <v>0</v>
      </c>
      <c r="H8" s="4">
        <v>84.772199999999998</v>
      </c>
      <c r="I8" s="5">
        <v>1355.6071999999999</v>
      </c>
      <c r="J8" s="4">
        <v>20.3584</v>
      </c>
      <c r="K8" s="4">
        <v>1335.2489</v>
      </c>
      <c r="L8" s="4">
        <v>3697.7292000000002</v>
      </c>
      <c r="M8" s="4">
        <v>3691.9344000000001</v>
      </c>
      <c r="N8" s="4">
        <v>5.7948000000000004</v>
      </c>
      <c r="O8" s="4">
        <v>0</v>
      </c>
      <c r="P8" s="4">
        <v>3.8767999999999998</v>
      </c>
      <c r="Q8" s="4">
        <v>3.8767999999999998</v>
      </c>
      <c r="R8" s="4">
        <v>2702.7467000000001</v>
      </c>
      <c r="S8" s="4">
        <v>-3284.7604999999999</v>
      </c>
      <c r="T8" s="4">
        <v>12719.9735</v>
      </c>
      <c r="U8" s="4">
        <v>0</v>
      </c>
      <c r="V8" s="4">
        <v>0</v>
      </c>
      <c r="W8" s="4">
        <v>5637.0039999999999</v>
      </c>
      <c r="X8" s="4">
        <v>0</v>
      </c>
      <c r="Y8" s="4">
        <v>5637.0039999999999</v>
      </c>
      <c r="Z8" s="4">
        <v>4699.2087000000001</v>
      </c>
      <c r="AA8" s="4">
        <v>4.2099999999999999E-2</v>
      </c>
      <c r="AB8" s="4">
        <v>4699.1666999999998</v>
      </c>
      <c r="AC8" s="4">
        <v>2383.7608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">
      <c r="A9" s="3">
        <v>38047</v>
      </c>
      <c r="B9" s="4">
        <v>10312.1693</v>
      </c>
      <c r="C9" s="4">
        <v>1924.4505999999999</v>
      </c>
      <c r="D9" s="4">
        <v>1161.6197999999999</v>
      </c>
      <c r="E9" s="4">
        <v>762.83079999999995</v>
      </c>
      <c r="F9" s="5">
        <v>64.414599999999993</v>
      </c>
      <c r="G9" s="4">
        <v>0</v>
      </c>
      <c r="H9" s="4">
        <v>64.414599999999993</v>
      </c>
      <c r="I9" s="5">
        <v>1411.933</v>
      </c>
      <c r="J9" s="4">
        <v>52.7699</v>
      </c>
      <c r="K9" s="4">
        <v>1359.1631</v>
      </c>
      <c r="L9" s="4">
        <v>4206.2543999999998</v>
      </c>
      <c r="M9" s="4">
        <v>4200.0450000000001</v>
      </c>
      <c r="N9" s="4">
        <v>6.2093999999999996</v>
      </c>
      <c r="O9" s="4">
        <v>0</v>
      </c>
      <c r="P9" s="4">
        <v>4.0216000000000003</v>
      </c>
      <c r="Q9" s="4">
        <v>4.0216000000000003</v>
      </c>
      <c r="R9" s="4">
        <v>2701.0951</v>
      </c>
      <c r="S9" s="4">
        <v>-3238.0421000000001</v>
      </c>
      <c r="T9" s="4">
        <v>13550.2114</v>
      </c>
      <c r="U9" s="4">
        <v>0</v>
      </c>
      <c r="V9" s="4">
        <v>0</v>
      </c>
      <c r="W9" s="4">
        <v>6425.1913000000004</v>
      </c>
      <c r="X9" s="4">
        <v>0</v>
      </c>
      <c r="Y9" s="4">
        <v>6425.1913000000004</v>
      </c>
      <c r="Z9" s="4">
        <v>4770.6149999999998</v>
      </c>
      <c r="AA9" s="4">
        <v>4.5199999999999997E-2</v>
      </c>
      <c r="AB9" s="4">
        <v>4770.5698000000002</v>
      </c>
      <c r="AC9" s="4">
        <v>2354.4050999999999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35" x14ac:dyDescent="0.2">
      <c r="A10" s="3">
        <v>38139</v>
      </c>
      <c r="B10" s="4">
        <v>10592.6857</v>
      </c>
      <c r="C10" s="4">
        <v>1918.5962999999999</v>
      </c>
      <c r="D10" s="4">
        <v>1326.038</v>
      </c>
      <c r="E10" s="4">
        <v>592.55820000000006</v>
      </c>
      <c r="F10" s="5">
        <v>104.4584</v>
      </c>
      <c r="G10" s="4">
        <v>0</v>
      </c>
      <c r="H10" s="4">
        <v>104.4584</v>
      </c>
      <c r="I10" s="5">
        <v>1619.8739</v>
      </c>
      <c r="J10" s="4">
        <v>247.97819999999999</v>
      </c>
      <c r="K10" s="4">
        <v>1371.8958</v>
      </c>
      <c r="L10" s="4">
        <v>4290.1544999999996</v>
      </c>
      <c r="M10" s="4">
        <v>4283.5304999999998</v>
      </c>
      <c r="N10" s="4">
        <v>6.6239999999999997</v>
      </c>
      <c r="O10" s="4">
        <v>0</v>
      </c>
      <c r="P10" s="4">
        <v>4.3456999999999999</v>
      </c>
      <c r="Q10" s="4">
        <v>4.3456999999999999</v>
      </c>
      <c r="R10" s="4">
        <v>2655.2568999999999</v>
      </c>
      <c r="S10" s="4">
        <v>-2830.1637000000001</v>
      </c>
      <c r="T10" s="4">
        <v>13422.849399999999</v>
      </c>
      <c r="U10" s="4">
        <v>0</v>
      </c>
      <c r="V10" s="4">
        <v>0</v>
      </c>
      <c r="W10" s="4">
        <v>6368.6535000000003</v>
      </c>
      <c r="X10" s="4">
        <v>0</v>
      </c>
      <c r="Y10" s="4">
        <v>6368.6535000000003</v>
      </c>
      <c r="Z10" s="4">
        <v>4626.9912999999997</v>
      </c>
      <c r="AA10" s="4">
        <v>4.8399999999999999E-2</v>
      </c>
      <c r="AB10" s="4">
        <v>4626.9429</v>
      </c>
      <c r="AC10" s="4">
        <v>2427.2046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x14ac:dyDescent="0.2">
      <c r="A11" s="3">
        <v>38231</v>
      </c>
      <c r="B11" s="4">
        <v>10344.376</v>
      </c>
      <c r="C11" s="4">
        <v>2106.2354999999998</v>
      </c>
      <c r="D11" s="4">
        <v>1278.1269</v>
      </c>
      <c r="E11" s="4">
        <v>828.10860000000002</v>
      </c>
      <c r="F11" s="5">
        <v>73.477199999999996</v>
      </c>
      <c r="G11" s="4">
        <v>0</v>
      </c>
      <c r="H11" s="4">
        <v>73.477199999999996</v>
      </c>
      <c r="I11" s="5">
        <v>1579.2561000000001</v>
      </c>
      <c r="J11" s="4">
        <v>171.89189999999999</v>
      </c>
      <c r="K11" s="4">
        <v>1407.3642</v>
      </c>
      <c r="L11" s="4">
        <v>3856.0931999999998</v>
      </c>
      <c r="M11" s="4">
        <v>3849.05</v>
      </c>
      <c r="N11" s="4">
        <v>7.0430999999999999</v>
      </c>
      <c r="O11" s="4">
        <v>0</v>
      </c>
      <c r="P11" s="4">
        <v>4.5297000000000001</v>
      </c>
      <c r="Q11" s="4">
        <v>4.5297000000000001</v>
      </c>
      <c r="R11" s="4">
        <v>2724.7844</v>
      </c>
      <c r="S11" s="4">
        <v>-3139.7865000000002</v>
      </c>
      <c r="T11" s="4">
        <v>13484.1625</v>
      </c>
      <c r="U11" s="4">
        <v>0</v>
      </c>
      <c r="V11" s="4">
        <v>0</v>
      </c>
      <c r="W11" s="4">
        <v>6465.9566999999997</v>
      </c>
      <c r="X11" s="4">
        <v>0</v>
      </c>
      <c r="Y11" s="4">
        <v>6465.9566999999997</v>
      </c>
      <c r="Z11" s="4">
        <v>4458.9026999999996</v>
      </c>
      <c r="AA11" s="4">
        <v>5.16E-2</v>
      </c>
      <c r="AB11" s="4">
        <v>4458.8510999999999</v>
      </c>
      <c r="AC11" s="4">
        <v>2559.3029999999999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x14ac:dyDescent="0.2">
      <c r="A12" s="3">
        <v>38322</v>
      </c>
      <c r="B12" s="4">
        <v>9465.7098999999998</v>
      </c>
      <c r="C12" s="4">
        <v>1976.0781999999999</v>
      </c>
      <c r="D12" s="4">
        <v>1279.8552</v>
      </c>
      <c r="E12" s="4">
        <v>696.22310000000004</v>
      </c>
      <c r="F12" s="5">
        <v>78.033199999999994</v>
      </c>
      <c r="G12" s="4">
        <v>0</v>
      </c>
      <c r="H12" s="4">
        <v>78.033199999999994</v>
      </c>
      <c r="I12" s="5">
        <v>1579.4860000000001</v>
      </c>
      <c r="J12" s="4">
        <v>159.77590000000001</v>
      </c>
      <c r="K12" s="4">
        <v>1419.7102</v>
      </c>
      <c r="L12" s="4">
        <v>3247.4279000000001</v>
      </c>
      <c r="M12" s="4">
        <v>3239.9656</v>
      </c>
      <c r="N12" s="4">
        <v>7.4622999999999999</v>
      </c>
      <c r="O12" s="4">
        <v>0</v>
      </c>
      <c r="P12" s="4">
        <v>4.6489000000000003</v>
      </c>
      <c r="Q12" s="4">
        <v>4.6489000000000003</v>
      </c>
      <c r="R12" s="4">
        <v>2580.0356999999999</v>
      </c>
      <c r="S12" s="4">
        <v>-3156.7348999999999</v>
      </c>
      <c r="T12" s="4">
        <v>12622.444799999999</v>
      </c>
      <c r="U12" s="4">
        <v>0</v>
      </c>
      <c r="V12" s="4">
        <v>0</v>
      </c>
      <c r="W12" s="4">
        <v>6403.1507000000001</v>
      </c>
      <c r="X12" s="4">
        <v>0</v>
      </c>
      <c r="Y12" s="4">
        <v>6403.1507000000001</v>
      </c>
      <c r="Z12" s="4">
        <v>3765.8407999999999</v>
      </c>
      <c r="AA12" s="4">
        <v>5.4899999999999997E-2</v>
      </c>
      <c r="AB12" s="4">
        <v>3765.7860000000001</v>
      </c>
      <c r="AC12" s="4">
        <v>2453.4533000000001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x14ac:dyDescent="0.2">
      <c r="A13" s="3">
        <v>38412</v>
      </c>
      <c r="B13" s="4">
        <v>10636.7137</v>
      </c>
      <c r="C13" s="4">
        <v>2361.3766000000001</v>
      </c>
      <c r="D13" s="4">
        <v>1284.5364</v>
      </c>
      <c r="E13" s="4">
        <v>1076.8402000000001</v>
      </c>
      <c r="F13" s="5">
        <v>82.502399999999994</v>
      </c>
      <c r="G13" s="4">
        <v>0</v>
      </c>
      <c r="H13" s="4">
        <v>82.502399999999994</v>
      </c>
      <c r="I13" s="5">
        <v>1536.59</v>
      </c>
      <c r="J13" s="4">
        <v>135.26669999999999</v>
      </c>
      <c r="K13" s="4">
        <v>1401.3233</v>
      </c>
      <c r="L13" s="4">
        <v>3862.8479000000002</v>
      </c>
      <c r="M13" s="4">
        <v>3854.9744999999998</v>
      </c>
      <c r="N13" s="4">
        <v>7.8734000000000002</v>
      </c>
      <c r="O13" s="4">
        <v>0</v>
      </c>
      <c r="P13" s="4">
        <v>4.7461000000000002</v>
      </c>
      <c r="Q13" s="4">
        <v>4.7461000000000002</v>
      </c>
      <c r="R13" s="4">
        <v>2788.6505999999999</v>
      </c>
      <c r="S13" s="4">
        <v>-2201.4225999999999</v>
      </c>
      <c r="T13" s="4">
        <v>12838.136200000001</v>
      </c>
      <c r="U13" s="4">
        <v>0</v>
      </c>
      <c r="V13" s="4">
        <v>0</v>
      </c>
      <c r="W13" s="4">
        <v>6632.3738999999996</v>
      </c>
      <c r="X13" s="4">
        <v>0</v>
      </c>
      <c r="Y13" s="4">
        <v>6632.3738999999996</v>
      </c>
      <c r="Z13" s="4">
        <v>3630.2125000000001</v>
      </c>
      <c r="AA13" s="4">
        <v>5.8000000000000003E-2</v>
      </c>
      <c r="AB13" s="4">
        <v>3630.1545000000001</v>
      </c>
      <c r="AC13" s="4">
        <v>2575.5497999999998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x14ac:dyDescent="0.2">
      <c r="A14" s="3">
        <v>38504</v>
      </c>
      <c r="B14" s="4">
        <v>10663.314</v>
      </c>
      <c r="C14" s="4">
        <v>2844.8074999999999</v>
      </c>
      <c r="D14" s="4">
        <v>1339.6292000000001</v>
      </c>
      <c r="E14" s="4">
        <v>1505.1783</v>
      </c>
      <c r="F14" s="5">
        <v>87.021299999999997</v>
      </c>
      <c r="G14" s="4">
        <v>0</v>
      </c>
      <c r="H14" s="4">
        <v>87.021299999999997</v>
      </c>
      <c r="I14" s="5">
        <v>1474.5301999999999</v>
      </c>
      <c r="J14" s="4">
        <v>64.550200000000004</v>
      </c>
      <c r="K14" s="4">
        <v>1409.9801</v>
      </c>
      <c r="L14" s="4">
        <v>3478.1993000000002</v>
      </c>
      <c r="M14" s="4">
        <v>3469.9101999999998</v>
      </c>
      <c r="N14" s="4">
        <v>8.2890999999999995</v>
      </c>
      <c r="O14" s="4">
        <v>0</v>
      </c>
      <c r="P14" s="4">
        <v>5.1296999999999997</v>
      </c>
      <c r="Q14" s="4">
        <v>5.1296999999999997</v>
      </c>
      <c r="R14" s="4">
        <v>2773.6260000000002</v>
      </c>
      <c r="S14" s="4">
        <v>-1970.1608000000001</v>
      </c>
      <c r="T14" s="4">
        <v>12633.4748</v>
      </c>
      <c r="U14" s="4">
        <v>0</v>
      </c>
      <c r="V14" s="4">
        <v>0</v>
      </c>
      <c r="W14" s="4">
        <v>6798.2376000000004</v>
      </c>
      <c r="X14" s="4">
        <v>0</v>
      </c>
      <c r="Y14" s="4">
        <v>6798.2376000000004</v>
      </c>
      <c r="Z14" s="4">
        <v>3149.0976999999998</v>
      </c>
      <c r="AA14" s="4">
        <v>6.1199999999999997E-2</v>
      </c>
      <c r="AB14" s="4">
        <v>3149.0365000000002</v>
      </c>
      <c r="AC14" s="4">
        <v>2686.1395000000002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</row>
    <row r="15" spans="1:35" x14ac:dyDescent="0.2">
      <c r="A15" s="3">
        <v>38596</v>
      </c>
      <c r="B15" s="4">
        <v>10085.014800000001</v>
      </c>
      <c r="C15" s="4">
        <v>3079.5855999999999</v>
      </c>
      <c r="D15" s="4">
        <v>1438.6632999999999</v>
      </c>
      <c r="E15" s="4">
        <v>1640.9223</v>
      </c>
      <c r="F15" s="5">
        <v>91.589799999999997</v>
      </c>
      <c r="G15" s="4">
        <v>0</v>
      </c>
      <c r="H15" s="4">
        <v>91.589799999999997</v>
      </c>
      <c r="I15" s="5">
        <v>1341.8562999999999</v>
      </c>
      <c r="J15" s="4">
        <v>80.624700000000004</v>
      </c>
      <c r="K15" s="4">
        <v>1261.2316000000001</v>
      </c>
      <c r="L15" s="4">
        <v>2738.8863000000001</v>
      </c>
      <c r="M15" s="4">
        <v>2730.1768999999999</v>
      </c>
      <c r="N15" s="4">
        <v>8.7094000000000005</v>
      </c>
      <c r="O15" s="4">
        <v>0</v>
      </c>
      <c r="P15" s="4">
        <v>5.5039999999999996</v>
      </c>
      <c r="Q15" s="4">
        <v>5.5039999999999996</v>
      </c>
      <c r="R15" s="4">
        <v>2827.5929000000001</v>
      </c>
      <c r="S15" s="4">
        <v>-1881.8483000000001</v>
      </c>
      <c r="T15" s="4">
        <v>11966.862999999999</v>
      </c>
      <c r="U15" s="4">
        <v>0</v>
      </c>
      <c r="V15" s="4">
        <v>0</v>
      </c>
      <c r="W15" s="4">
        <v>6300.6075000000001</v>
      </c>
      <c r="X15" s="4">
        <v>0</v>
      </c>
      <c r="Y15" s="4">
        <v>6300.6075000000001</v>
      </c>
      <c r="Z15" s="4">
        <v>2842.5974000000001</v>
      </c>
      <c r="AA15" s="4">
        <v>6.4399999999999999E-2</v>
      </c>
      <c r="AB15" s="4">
        <v>2842.5329999999999</v>
      </c>
      <c r="AC15" s="4">
        <v>2823.6581999999999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">
      <c r="A16" s="3">
        <v>38687</v>
      </c>
      <c r="B16" s="4">
        <v>9840.2909</v>
      </c>
      <c r="C16" s="4">
        <v>3196.6161000000002</v>
      </c>
      <c r="D16" s="4">
        <v>1493.7918999999999</v>
      </c>
      <c r="E16" s="4">
        <v>1702.8242</v>
      </c>
      <c r="F16" s="5">
        <v>140.9282</v>
      </c>
      <c r="G16" s="4">
        <v>0</v>
      </c>
      <c r="H16" s="4">
        <v>140.9282</v>
      </c>
      <c r="I16" s="5">
        <v>1449.3263999999999</v>
      </c>
      <c r="J16" s="4">
        <v>173.2841</v>
      </c>
      <c r="K16" s="4">
        <v>1276.0424</v>
      </c>
      <c r="L16" s="4">
        <v>2462.4652000000001</v>
      </c>
      <c r="M16" s="4">
        <v>2453.3355000000001</v>
      </c>
      <c r="N16" s="4">
        <v>9.1296999999999997</v>
      </c>
      <c r="O16" s="4">
        <v>0</v>
      </c>
      <c r="P16" s="4">
        <v>5.7931999999999997</v>
      </c>
      <c r="Q16" s="4">
        <v>5.7931999999999997</v>
      </c>
      <c r="R16" s="4">
        <v>2585.1617000000001</v>
      </c>
      <c r="S16" s="4">
        <v>-1451.4463000000001</v>
      </c>
      <c r="T16" s="4">
        <v>11291.7372</v>
      </c>
      <c r="U16" s="4">
        <v>0</v>
      </c>
      <c r="V16" s="4">
        <v>0</v>
      </c>
      <c r="W16" s="4">
        <v>6234.7716</v>
      </c>
      <c r="X16" s="4">
        <v>0</v>
      </c>
      <c r="Y16" s="4">
        <v>6234.7716</v>
      </c>
      <c r="Z16" s="4">
        <v>2338.5423000000001</v>
      </c>
      <c r="AA16" s="4">
        <v>6.7599999999999993E-2</v>
      </c>
      <c r="AB16" s="4">
        <v>2338.4747000000002</v>
      </c>
      <c r="AC16" s="4">
        <v>2718.4232999999999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">
      <c r="A17" s="3">
        <v>38777</v>
      </c>
      <c r="B17" s="4">
        <v>11395.5982</v>
      </c>
      <c r="C17" s="4">
        <v>3443.6433000000002</v>
      </c>
      <c r="D17" s="4">
        <v>1568.3290999999999</v>
      </c>
      <c r="E17" s="4">
        <v>1875.3142</v>
      </c>
      <c r="F17" s="5">
        <v>901.89520000000005</v>
      </c>
      <c r="G17" s="4">
        <v>759.69</v>
      </c>
      <c r="H17" s="4">
        <v>142.20529999999999</v>
      </c>
      <c r="I17" s="5">
        <v>1435.4955</v>
      </c>
      <c r="J17" s="4">
        <v>190.8211</v>
      </c>
      <c r="K17" s="4">
        <v>1244.6744000000001</v>
      </c>
      <c r="L17" s="4">
        <v>2891.5268000000001</v>
      </c>
      <c r="M17" s="4">
        <v>2882.0990000000002</v>
      </c>
      <c r="N17" s="4">
        <v>9.4277999999999995</v>
      </c>
      <c r="O17" s="4">
        <v>0</v>
      </c>
      <c r="P17" s="4">
        <v>5.7514000000000003</v>
      </c>
      <c r="Q17" s="4">
        <v>5.7514000000000003</v>
      </c>
      <c r="R17" s="4">
        <v>2717.2860999999998</v>
      </c>
      <c r="S17" s="4">
        <v>166.70599999999999</v>
      </c>
      <c r="T17" s="4">
        <v>11228.8922</v>
      </c>
      <c r="U17" s="4">
        <v>0</v>
      </c>
      <c r="V17" s="4">
        <v>0</v>
      </c>
      <c r="W17" s="4">
        <v>6283.7209000000003</v>
      </c>
      <c r="X17" s="4">
        <v>0</v>
      </c>
      <c r="Y17" s="4">
        <v>6283.7209000000003</v>
      </c>
      <c r="Z17" s="4">
        <v>2026.3224</v>
      </c>
      <c r="AA17" s="4">
        <v>7.2099999999999997E-2</v>
      </c>
      <c r="AB17" s="4">
        <v>2026.2502999999999</v>
      </c>
      <c r="AC17" s="4">
        <v>2918.8489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</row>
    <row r="18" spans="1:35" x14ac:dyDescent="0.2">
      <c r="A18" s="3">
        <v>38869</v>
      </c>
      <c r="B18" s="4">
        <v>13040.635700000001</v>
      </c>
      <c r="C18" s="4">
        <v>3855.2593000000002</v>
      </c>
      <c r="D18" s="4">
        <v>1663.0941</v>
      </c>
      <c r="E18" s="4">
        <v>2192.1651999999999</v>
      </c>
      <c r="F18" s="5">
        <v>1722.3671999999999</v>
      </c>
      <c r="G18" s="4">
        <v>1591.1664000000001</v>
      </c>
      <c r="H18" s="4">
        <v>131.20079999999999</v>
      </c>
      <c r="I18" s="5">
        <v>1361.277</v>
      </c>
      <c r="J18" s="4">
        <v>133.45609999999999</v>
      </c>
      <c r="K18" s="4">
        <v>1227.8208999999999</v>
      </c>
      <c r="L18" s="4">
        <v>3371.8283999999999</v>
      </c>
      <c r="M18" s="4">
        <v>3362.0992000000001</v>
      </c>
      <c r="N18" s="4">
        <v>9.7292000000000005</v>
      </c>
      <c r="O18" s="4">
        <v>0</v>
      </c>
      <c r="P18" s="4">
        <v>6.1718999999999999</v>
      </c>
      <c r="Q18" s="4">
        <v>6.1718999999999999</v>
      </c>
      <c r="R18" s="4">
        <v>2723.732</v>
      </c>
      <c r="S18" s="4">
        <v>2006.9938999999999</v>
      </c>
      <c r="T18" s="4">
        <v>11033.641799999999</v>
      </c>
      <c r="U18" s="4">
        <v>0</v>
      </c>
      <c r="V18" s="4">
        <v>0</v>
      </c>
      <c r="W18" s="4">
        <v>6211.0264999999999</v>
      </c>
      <c r="X18" s="4">
        <v>0</v>
      </c>
      <c r="Y18" s="4">
        <v>6211.0264999999999</v>
      </c>
      <c r="Z18" s="4">
        <v>1779.3222000000001</v>
      </c>
      <c r="AA18" s="4">
        <v>7.6600000000000001E-2</v>
      </c>
      <c r="AB18" s="4">
        <v>1779.2456</v>
      </c>
      <c r="AC18" s="4">
        <v>3043.2930999999999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</row>
    <row r="19" spans="1:35" x14ac:dyDescent="0.2">
      <c r="A19" s="3">
        <v>38961</v>
      </c>
      <c r="B19" s="4">
        <v>14831.6859</v>
      </c>
      <c r="C19" s="4">
        <v>3885.2523000000001</v>
      </c>
      <c r="D19" s="4">
        <v>1624.8451</v>
      </c>
      <c r="E19" s="4">
        <v>2260.4072000000001</v>
      </c>
      <c r="F19" s="5">
        <v>3022.9097999999999</v>
      </c>
      <c r="G19" s="4">
        <v>2790.7887999999998</v>
      </c>
      <c r="H19" s="4">
        <v>232.12100000000001</v>
      </c>
      <c r="I19" s="5">
        <v>1427.1686999999999</v>
      </c>
      <c r="J19" s="4">
        <v>209.8595</v>
      </c>
      <c r="K19" s="4">
        <v>1217.3090999999999</v>
      </c>
      <c r="L19" s="4">
        <v>3612.1849000000002</v>
      </c>
      <c r="M19" s="4">
        <v>3602.1509999999998</v>
      </c>
      <c r="N19" s="4">
        <v>10.033899999999999</v>
      </c>
      <c r="O19" s="4">
        <v>0</v>
      </c>
      <c r="P19" s="4">
        <v>6.4550000000000001</v>
      </c>
      <c r="Q19" s="4">
        <v>6.4550000000000001</v>
      </c>
      <c r="R19" s="4">
        <v>2877.7152000000001</v>
      </c>
      <c r="S19" s="4">
        <v>3809.2824000000001</v>
      </c>
      <c r="T19" s="4">
        <v>11022.403399999999</v>
      </c>
      <c r="U19" s="4">
        <v>0</v>
      </c>
      <c r="V19" s="4">
        <v>0</v>
      </c>
      <c r="W19" s="4">
        <v>6280.0838000000003</v>
      </c>
      <c r="X19" s="4">
        <v>0</v>
      </c>
      <c r="Y19" s="4">
        <v>6280.0838000000003</v>
      </c>
      <c r="Z19" s="4">
        <v>1645.6767</v>
      </c>
      <c r="AA19" s="4">
        <v>8.1199999999999994E-2</v>
      </c>
      <c r="AB19" s="4">
        <v>1645.5956000000001</v>
      </c>
      <c r="AC19" s="4">
        <v>3096.6428999999998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</row>
    <row r="20" spans="1:35" x14ac:dyDescent="0.2">
      <c r="A20" s="3">
        <v>39052</v>
      </c>
      <c r="B20" s="4">
        <v>15160.527099999999</v>
      </c>
      <c r="C20" s="4">
        <v>3422.5435000000002</v>
      </c>
      <c r="D20" s="4">
        <v>1524.1187</v>
      </c>
      <c r="E20" s="4">
        <v>1898.4248</v>
      </c>
      <c r="F20" s="5">
        <v>3965.9902999999999</v>
      </c>
      <c r="G20" s="4">
        <v>3610.5115000000001</v>
      </c>
      <c r="H20" s="4">
        <v>355.4787</v>
      </c>
      <c r="I20" s="5">
        <v>1347.6833999999999</v>
      </c>
      <c r="J20" s="4">
        <v>118.2692</v>
      </c>
      <c r="K20" s="4">
        <v>1229.4141</v>
      </c>
      <c r="L20" s="4">
        <v>3843.8620000000001</v>
      </c>
      <c r="M20" s="4">
        <v>3833.5234</v>
      </c>
      <c r="N20" s="4">
        <v>10.3386</v>
      </c>
      <c r="O20" s="4">
        <v>0</v>
      </c>
      <c r="P20" s="4">
        <v>6.5712000000000002</v>
      </c>
      <c r="Q20" s="4">
        <v>6.5712000000000002</v>
      </c>
      <c r="R20" s="4">
        <v>2573.8766999999998</v>
      </c>
      <c r="S20" s="4">
        <v>4317.17</v>
      </c>
      <c r="T20" s="4">
        <v>10843.357099999999</v>
      </c>
      <c r="U20" s="4">
        <v>0</v>
      </c>
      <c r="V20" s="4">
        <v>0</v>
      </c>
      <c r="W20" s="4">
        <v>6277.5466999999999</v>
      </c>
      <c r="X20" s="4">
        <v>0</v>
      </c>
      <c r="Y20" s="4">
        <v>6277.5466999999999</v>
      </c>
      <c r="Z20" s="4">
        <v>1626.4504999999999</v>
      </c>
      <c r="AA20" s="4">
        <v>8.5699999999999998E-2</v>
      </c>
      <c r="AB20" s="4">
        <v>1626.3648000000001</v>
      </c>
      <c r="AC20" s="4">
        <v>2939.3598999999999</v>
      </c>
      <c r="AD20" s="4">
        <v>323.0843122</v>
      </c>
      <c r="AE20" s="4">
        <v>0</v>
      </c>
      <c r="AF20" s="4">
        <v>323.0843122</v>
      </c>
      <c r="AG20" s="4">
        <v>319.19703604799997</v>
      </c>
      <c r="AH20" s="4">
        <v>0</v>
      </c>
      <c r="AI20" s="4">
        <v>319.19703604799997</v>
      </c>
    </row>
    <row r="21" spans="1:35" x14ac:dyDescent="0.2">
      <c r="A21" s="3">
        <v>39142</v>
      </c>
      <c r="B21" s="4">
        <v>17303.377799999998</v>
      </c>
      <c r="C21" s="4">
        <v>3603.4276</v>
      </c>
      <c r="D21" s="4">
        <v>1371.0331000000001</v>
      </c>
      <c r="E21" s="4">
        <v>2232.3946000000001</v>
      </c>
      <c r="F21" s="5">
        <v>5454.9025000000001</v>
      </c>
      <c r="G21" s="4">
        <v>1847.9718</v>
      </c>
      <c r="H21" s="4">
        <v>3606.9306999999999</v>
      </c>
      <c r="I21" s="5">
        <v>1433.9376999999999</v>
      </c>
      <c r="J21" s="4">
        <v>201.28139999999999</v>
      </c>
      <c r="K21" s="4">
        <v>1232.6563000000001</v>
      </c>
      <c r="L21" s="4">
        <v>3914.5700999999999</v>
      </c>
      <c r="M21" s="4">
        <v>3903.7177000000001</v>
      </c>
      <c r="N21" s="4">
        <v>10.852399999999999</v>
      </c>
      <c r="O21" s="4">
        <v>0</v>
      </c>
      <c r="P21" s="4">
        <v>6.7561</v>
      </c>
      <c r="Q21" s="4">
        <v>6.7561</v>
      </c>
      <c r="R21" s="4">
        <v>2889.7837</v>
      </c>
      <c r="S21" s="4">
        <v>6307.0511999999999</v>
      </c>
      <c r="T21" s="4">
        <v>10996.3266</v>
      </c>
      <c r="U21" s="4">
        <v>0</v>
      </c>
      <c r="V21" s="4">
        <v>0</v>
      </c>
      <c r="W21" s="4">
        <v>6277.8373000000001</v>
      </c>
      <c r="X21" s="4">
        <v>0</v>
      </c>
      <c r="Y21" s="4">
        <v>6277.8373000000001</v>
      </c>
      <c r="Z21" s="4">
        <v>1642.1732</v>
      </c>
      <c r="AA21" s="4">
        <v>8.9300000000000004E-2</v>
      </c>
      <c r="AB21" s="4">
        <v>1642.0839000000001</v>
      </c>
      <c r="AC21" s="4">
        <v>3076.3161</v>
      </c>
      <c r="AD21" s="4">
        <v>4180.5338936400003</v>
      </c>
      <c r="AE21" s="4">
        <v>3849.6401073000002</v>
      </c>
      <c r="AF21" s="4">
        <v>330.89378634000002</v>
      </c>
      <c r="AG21" s="4">
        <v>3836.582625</v>
      </c>
      <c r="AH21" s="4">
        <v>3836.582625</v>
      </c>
      <c r="AI21" s="4">
        <v>0</v>
      </c>
    </row>
    <row r="22" spans="1:35" x14ac:dyDescent="0.2">
      <c r="A22" s="3">
        <v>39234</v>
      </c>
      <c r="B22" s="4">
        <v>19498.512900000002</v>
      </c>
      <c r="C22" s="4">
        <v>4688.7112999999999</v>
      </c>
      <c r="D22" s="4">
        <v>1362.7891</v>
      </c>
      <c r="E22" s="4">
        <v>3325.9222</v>
      </c>
      <c r="F22" s="5">
        <v>5982.2804999999998</v>
      </c>
      <c r="G22" s="4">
        <v>1335.7810999999999</v>
      </c>
      <c r="H22" s="4">
        <v>4646.4993999999997</v>
      </c>
      <c r="I22" s="5">
        <v>1487.0138999999999</v>
      </c>
      <c r="J22" s="4">
        <v>254.13339999999999</v>
      </c>
      <c r="K22" s="4">
        <v>1232.8805</v>
      </c>
      <c r="L22" s="4">
        <v>4410.0424000000003</v>
      </c>
      <c r="M22" s="4">
        <v>4365.6704</v>
      </c>
      <c r="N22" s="4">
        <v>44.371899999999997</v>
      </c>
      <c r="O22" s="4">
        <v>0</v>
      </c>
      <c r="P22" s="4">
        <v>7.4256000000000002</v>
      </c>
      <c r="Q22" s="4">
        <v>7.4256000000000002</v>
      </c>
      <c r="R22" s="4">
        <v>2923.0392000000002</v>
      </c>
      <c r="S22" s="4">
        <v>8770.3050999999996</v>
      </c>
      <c r="T22" s="4">
        <v>10728.2078</v>
      </c>
      <c r="U22" s="4">
        <v>0</v>
      </c>
      <c r="V22" s="4">
        <v>0</v>
      </c>
      <c r="W22" s="4">
        <v>6059.1768000000002</v>
      </c>
      <c r="X22" s="4">
        <v>0</v>
      </c>
      <c r="Y22" s="4">
        <v>6059.1768000000002</v>
      </c>
      <c r="Z22" s="4">
        <v>1600.3351</v>
      </c>
      <c r="AA22" s="4">
        <v>9.2899999999999996E-2</v>
      </c>
      <c r="AB22" s="4">
        <v>1600.2421999999999</v>
      </c>
      <c r="AC22" s="4">
        <v>3068.6959999999999</v>
      </c>
      <c r="AD22" s="4">
        <v>5805.4858526999997</v>
      </c>
      <c r="AE22" s="4">
        <v>5093.3489202000001</v>
      </c>
      <c r="AF22" s="4">
        <v>712.13693249999994</v>
      </c>
      <c r="AG22" s="4">
        <v>1705.3211370730201</v>
      </c>
      <c r="AH22" s="4">
        <v>1317.3169354838701</v>
      </c>
      <c r="AI22" s="4">
        <v>388.00420158914699</v>
      </c>
    </row>
    <row r="23" spans="1:35" x14ac:dyDescent="0.2">
      <c r="A23" s="3">
        <v>39326</v>
      </c>
      <c r="B23" s="4">
        <v>21305.364699999998</v>
      </c>
      <c r="C23" s="4">
        <v>5687.3697000000002</v>
      </c>
      <c r="D23" s="4">
        <v>1673.4512999999999</v>
      </c>
      <c r="E23" s="4">
        <v>4013.9182999999998</v>
      </c>
      <c r="F23" s="5">
        <v>6361.6277</v>
      </c>
      <c r="G23" s="4">
        <v>1606.5231000000001</v>
      </c>
      <c r="H23" s="4">
        <v>4755.1045000000004</v>
      </c>
      <c r="I23" s="5">
        <v>1553.4364</v>
      </c>
      <c r="J23" s="4">
        <v>286.3082</v>
      </c>
      <c r="K23" s="4">
        <v>1267.1283000000001</v>
      </c>
      <c r="L23" s="4">
        <v>4646.9632000000001</v>
      </c>
      <c r="M23" s="4">
        <v>4602.0661</v>
      </c>
      <c r="N23" s="4">
        <v>44.897100000000002</v>
      </c>
      <c r="O23" s="4">
        <v>0</v>
      </c>
      <c r="P23" s="4">
        <v>7.9607999999999999</v>
      </c>
      <c r="Q23" s="4">
        <v>7.9607999999999999</v>
      </c>
      <c r="R23" s="4">
        <v>3048.0068999999999</v>
      </c>
      <c r="S23" s="4">
        <v>10770.9329</v>
      </c>
      <c r="T23" s="4">
        <v>10534.4318</v>
      </c>
      <c r="U23" s="4">
        <v>0</v>
      </c>
      <c r="V23" s="4">
        <v>0</v>
      </c>
      <c r="W23" s="4">
        <v>6016.5891000000001</v>
      </c>
      <c r="X23" s="4">
        <v>0</v>
      </c>
      <c r="Y23" s="4">
        <v>6016.5891000000001</v>
      </c>
      <c r="Z23" s="4">
        <v>1317.6078</v>
      </c>
      <c r="AA23" s="4">
        <v>9.6500000000000002E-2</v>
      </c>
      <c r="AB23" s="4">
        <v>1317.5111999999999</v>
      </c>
      <c r="AC23" s="4">
        <v>3200.2348999999999</v>
      </c>
      <c r="AD23" s="4">
        <v>6432.0138797199997</v>
      </c>
      <c r="AE23" s="4">
        <v>5705.9543288000004</v>
      </c>
      <c r="AF23" s="4">
        <v>726.05955091999999</v>
      </c>
      <c r="AG23" s="4">
        <v>520.13355932203399</v>
      </c>
      <c r="AH23" s="4">
        <v>520.13355932203399</v>
      </c>
      <c r="AI23" s="4">
        <v>0</v>
      </c>
    </row>
    <row r="24" spans="1:35" x14ac:dyDescent="0.2">
      <c r="A24" s="3">
        <v>39417</v>
      </c>
      <c r="B24" s="4">
        <v>20813.190399999999</v>
      </c>
      <c r="C24" s="4">
        <v>5128.1214</v>
      </c>
      <c r="D24" s="4">
        <v>1810.2204999999999</v>
      </c>
      <c r="E24" s="4">
        <v>3317.9009000000001</v>
      </c>
      <c r="F24" s="5">
        <v>6756.8464000000004</v>
      </c>
      <c r="G24" s="4">
        <v>1065.2370000000001</v>
      </c>
      <c r="H24" s="4">
        <v>5691.6094000000003</v>
      </c>
      <c r="I24" s="5">
        <v>1881.0579</v>
      </c>
      <c r="J24" s="4">
        <v>541.89340000000004</v>
      </c>
      <c r="K24" s="4">
        <v>1339.1646000000001</v>
      </c>
      <c r="L24" s="4">
        <v>4194.7799000000005</v>
      </c>
      <c r="M24" s="4">
        <v>4149.3576000000003</v>
      </c>
      <c r="N24" s="4">
        <v>45.422400000000003</v>
      </c>
      <c r="O24" s="4">
        <v>0</v>
      </c>
      <c r="P24" s="4">
        <v>8.2149999999999999</v>
      </c>
      <c r="Q24" s="4">
        <v>8.2149999999999999</v>
      </c>
      <c r="R24" s="4">
        <v>2844.1696999999999</v>
      </c>
      <c r="S24" s="4">
        <v>10556.434300000001</v>
      </c>
      <c r="T24" s="4">
        <v>10256.755999999999</v>
      </c>
      <c r="U24" s="4">
        <v>0</v>
      </c>
      <c r="V24" s="4">
        <v>0</v>
      </c>
      <c r="W24" s="4">
        <v>6088.5433999999996</v>
      </c>
      <c r="X24" s="4">
        <v>0</v>
      </c>
      <c r="Y24" s="4">
        <v>6088.5433999999996</v>
      </c>
      <c r="Z24" s="4">
        <v>1016.1296</v>
      </c>
      <c r="AA24" s="4">
        <v>0.1002</v>
      </c>
      <c r="AB24" s="4">
        <v>1016.0294</v>
      </c>
      <c r="AC24" s="4">
        <v>3152.0830000000001</v>
      </c>
      <c r="AD24" s="4">
        <v>7684.6963304800001</v>
      </c>
      <c r="AE24" s="4">
        <v>6957.6486901999997</v>
      </c>
      <c r="AF24" s="4">
        <v>727.04764028</v>
      </c>
      <c r="AG24" s="4">
        <v>1256.6120967741899</v>
      </c>
      <c r="AH24" s="4">
        <v>1256.6120967741899</v>
      </c>
      <c r="AI24" s="4">
        <v>0</v>
      </c>
    </row>
    <row r="25" spans="1:35" x14ac:dyDescent="0.2">
      <c r="A25" s="3">
        <v>39508</v>
      </c>
      <c r="B25" s="4">
        <v>20965.262900000002</v>
      </c>
      <c r="C25" s="4">
        <v>6254.5405000000001</v>
      </c>
      <c r="D25" s="4">
        <v>1744.4413999999999</v>
      </c>
      <c r="E25" s="4">
        <v>4510.0991000000004</v>
      </c>
      <c r="F25" s="5">
        <v>7006.9368999999997</v>
      </c>
      <c r="G25" s="4">
        <v>1009.5414</v>
      </c>
      <c r="H25" s="4">
        <v>5997.3954999999996</v>
      </c>
      <c r="I25" s="5">
        <v>1532.5600999999999</v>
      </c>
      <c r="J25" s="4">
        <v>207.9111</v>
      </c>
      <c r="K25" s="4">
        <v>1324.6489999999999</v>
      </c>
      <c r="L25" s="4">
        <v>3093.9475000000002</v>
      </c>
      <c r="M25" s="4">
        <v>3048.1648</v>
      </c>
      <c r="N25" s="4">
        <v>45.782699999999998</v>
      </c>
      <c r="O25" s="4">
        <v>0</v>
      </c>
      <c r="P25" s="4">
        <v>8.4085000000000001</v>
      </c>
      <c r="Q25" s="4">
        <v>8.4085000000000001</v>
      </c>
      <c r="R25" s="4">
        <v>3068.8694</v>
      </c>
      <c r="S25" s="4">
        <v>10871.0573</v>
      </c>
      <c r="T25" s="4">
        <v>10094.205599999999</v>
      </c>
      <c r="U25" s="4">
        <v>0</v>
      </c>
      <c r="V25" s="4">
        <v>0</v>
      </c>
      <c r="W25" s="4">
        <v>5814.2444999999998</v>
      </c>
      <c r="X25" s="4">
        <v>0</v>
      </c>
      <c r="Y25" s="4">
        <v>5814.2444999999998</v>
      </c>
      <c r="Z25" s="4">
        <v>959.74699999999996</v>
      </c>
      <c r="AA25" s="4">
        <v>7.5300000000000006E-2</v>
      </c>
      <c r="AB25" s="4">
        <v>959.67169999999999</v>
      </c>
      <c r="AC25" s="4">
        <v>3320.2141999999999</v>
      </c>
      <c r="AD25" s="4">
        <v>8240.0867633800008</v>
      </c>
      <c r="AE25" s="4">
        <v>7548.8264982000001</v>
      </c>
      <c r="AF25" s="4">
        <v>691.26026518000003</v>
      </c>
      <c r="AG25" s="4">
        <v>1053.0228915047601</v>
      </c>
      <c r="AH25" s="4">
        <v>1042.0239178095201</v>
      </c>
      <c r="AI25" s="4">
        <v>10.998973695238099</v>
      </c>
    </row>
    <row r="26" spans="1:35" x14ac:dyDescent="0.2">
      <c r="A26" s="3">
        <v>39600</v>
      </c>
      <c r="B26" s="4">
        <v>25417.812600000001</v>
      </c>
      <c r="C26" s="4">
        <v>6934.3290999999999</v>
      </c>
      <c r="D26" s="4">
        <v>2179.9865</v>
      </c>
      <c r="E26" s="4">
        <v>4754.3425999999999</v>
      </c>
      <c r="F26" s="5">
        <v>8743.9092000000001</v>
      </c>
      <c r="G26" s="4">
        <v>789.43010000000004</v>
      </c>
      <c r="H26" s="4">
        <v>7954.4790999999996</v>
      </c>
      <c r="I26" s="5">
        <v>1598.9055000000001</v>
      </c>
      <c r="J26" s="4">
        <v>255.16800000000001</v>
      </c>
      <c r="K26" s="4">
        <v>1343.7375</v>
      </c>
      <c r="L26" s="4">
        <v>5036.8197</v>
      </c>
      <c r="M26" s="4">
        <v>4990.6765999999998</v>
      </c>
      <c r="N26" s="4">
        <v>46.143099999999997</v>
      </c>
      <c r="O26" s="4">
        <v>0</v>
      </c>
      <c r="P26" s="4">
        <v>8.94</v>
      </c>
      <c r="Q26" s="4">
        <v>8.94</v>
      </c>
      <c r="R26" s="4">
        <v>3094.9090000000001</v>
      </c>
      <c r="S26" s="4">
        <v>15264.8434</v>
      </c>
      <c r="T26" s="4">
        <v>10152.9692</v>
      </c>
      <c r="U26" s="4">
        <v>0</v>
      </c>
      <c r="V26" s="4">
        <v>0</v>
      </c>
      <c r="W26" s="4">
        <v>5837.3606</v>
      </c>
      <c r="X26" s="4">
        <v>0</v>
      </c>
      <c r="Y26" s="4">
        <v>5837.3606</v>
      </c>
      <c r="Z26" s="4">
        <v>919.82539999999995</v>
      </c>
      <c r="AA26" s="4">
        <v>5.04E-2</v>
      </c>
      <c r="AB26" s="4">
        <v>919.77499999999998</v>
      </c>
      <c r="AC26" s="4">
        <v>3395.7833000000001</v>
      </c>
      <c r="AD26" s="4">
        <v>11038.459973159999</v>
      </c>
      <c r="AE26" s="4">
        <v>9763.2254532000006</v>
      </c>
      <c r="AF26" s="4">
        <v>1275.2345199599999</v>
      </c>
      <c r="AG26" s="4">
        <v>1401.2459592063501</v>
      </c>
      <c r="AH26" s="4">
        <v>966.86887047619098</v>
      </c>
      <c r="AI26" s="4">
        <v>434.37708873015902</v>
      </c>
    </row>
    <row r="27" spans="1:35" x14ac:dyDescent="0.2">
      <c r="A27" s="3">
        <v>39692</v>
      </c>
      <c r="B27" s="4">
        <v>27921.208200000001</v>
      </c>
      <c r="C27" s="4">
        <v>7487.0002000000004</v>
      </c>
      <c r="D27" s="4">
        <v>2233.1590999999999</v>
      </c>
      <c r="E27" s="4">
        <v>5253.8410999999996</v>
      </c>
      <c r="F27" s="5">
        <v>9550.2373000000007</v>
      </c>
      <c r="G27" s="4">
        <v>1125.8518999999999</v>
      </c>
      <c r="H27" s="4">
        <v>8424.3855000000003</v>
      </c>
      <c r="I27" s="5">
        <v>2152.7865999999999</v>
      </c>
      <c r="J27" s="4">
        <v>789.60270000000003</v>
      </c>
      <c r="K27" s="4">
        <v>1363.1838</v>
      </c>
      <c r="L27" s="4">
        <v>5337.7112999999999</v>
      </c>
      <c r="M27" s="4">
        <v>5291.1004000000003</v>
      </c>
      <c r="N27" s="4">
        <v>46.610900000000001</v>
      </c>
      <c r="O27" s="4">
        <v>0</v>
      </c>
      <c r="P27" s="4">
        <v>9.5534999999999997</v>
      </c>
      <c r="Q27" s="4">
        <v>9.5534999999999997</v>
      </c>
      <c r="R27" s="4">
        <v>3383.9193</v>
      </c>
      <c r="S27" s="4">
        <v>17092.913700000001</v>
      </c>
      <c r="T27" s="4">
        <v>10828.294400000001</v>
      </c>
      <c r="U27" s="4">
        <v>0</v>
      </c>
      <c r="V27" s="4">
        <v>0</v>
      </c>
      <c r="W27" s="4">
        <v>6327.6068999999998</v>
      </c>
      <c r="X27" s="4">
        <v>0</v>
      </c>
      <c r="Y27" s="4">
        <v>6327.6068999999998</v>
      </c>
      <c r="Z27" s="4">
        <v>957.03269999999998</v>
      </c>
      <c r="AA27" s="4">
        <v>2.52E-2</v>
      </c>
      <c r="AB27" s="4">
        <v>957.00750000000005</v>
      </c>
      <c r="AC27" s="4">
        <v>3543.6549</v>
      </c>
      <c r="AD27" s="4">
        <v>11965.68199193</v>
      </c>
      <c r="AE27" s="4">
        <v>10645.157701</v>
      </c>
      <c r="AF27" s="4">
        <v>1320.52429093</v>
      </c>
      <c r="AG27" s="4">
        <v>607.26328959677403</v>
      </c>
      <c r="AH27" s="4">
        <v>599.13246411290299</v>
      </c>
      <c r="AI27" s="4">
        <v>8.1308254838709697</v>
      </c>
    </row>
    <row r="28" spans="1:35" x14ac:dyDescent="0.2">
      <c r="A28" s="3">
        <v>39783</v>
      </c>
      <c r="B28" s="4">
        <v>31312.0167</v>
      </c>
      <c r="C28" s="4">
        <v>6677.5994000000001</v>
      </c>
      <c r="D28" s="4">
        <v>2741.6635000000001</v>
      </c>
      <c r="E28" s="4">
        <v>3935.9358999999999</v>
      </c>
      <c r="F28" s="5">
        <v>12336.258099999999</v>
      </c>
      <c r="G28" s="4">
        <v>2169.9140000000002</v>
      </c>
      <c r="H28" s="4">
        <v>10166.343999999999</v>
      </c>
      <c r="I28" s="5">
        <v>1761.3166000000001</v>
      </c>
      <c r="J28" s="4">
        <v>5.1383999999999999</v>
      </c>
      <c r="K28" s="4">
        <v>1756.1782000000001</v>
      </c>
      <c r="L28" s="4">
        <v>7093.9839000000002</v>
      </c>
      <c r="M28" s="4">
        <v>7055.8319000000001</v>
      </c>
      <c r="N28" s="4">
        <v>38.152000000000001</v>
      </c>
      <c r="O28" s="4">
        <v>0</v>
      </c>
      <c r="P28" s="4">
        <v>9.6883999999999997</v>
      </c>
      <c r="Q28" s="4">
        <v>9.6883999999999997</v>
      </c>
      <c r="R28" s="4">
        <v>3433.1703000000002</v>
      </c>
      <c r="S28" s="4">
        <v>19563.5311</v>
      </c>
      <c r="T28" s="4">
        <v>11748.485699999999</v>
      </c>
      <c r="U28" s="4">
        <v>0</v>
      </c>
      <c r="V28" s="4">
        <v>0</v>
      </c>
      <c r="W28" s="4">
        <v>6943.6967999999997</v>
      </c>
      <c r="X28" s="4">
        <v>0</v>
      </c>
      <c r="Y28" s="4">
        <v>6943.6967999999997</v>
      </c>
      <c r="Z28" s="4">
        <v>1043.4557</v>
      </c>
      <c r="AA28" s="4">
        <v>0</v>
      </c>
      <c r="AB28" s="4">
        <v>1043.4557</v>
      </c>
      <c r="AC28" s="4">
        <v>3761.3332</v>
      </c>
      <c r="AD28" s="4">
        <v>14291.781260600001</v>
      </c>
      <c r="AE28" s="4">
        <v>12714.753477</v>
      </c>
      <c r="AF28" s="4">
        <v>1577.0277836</v>
      </c>
      <c r="AG28" s="4">
        <v>112.313094193548</v>
      </c>
      <c r="AH28" s="4">
        <v>102.05633651612899</v>
      </c>
      <c r="AI28" s="4">
        <v>10.256757677419399</v>
      </c>
    </row>
    <row r="29" spans="1:35" x14ac:dyDescent="0.2">
      <c r="A29" s="3">
        <v>39873</v>
      </c>
      <c r="B29" s="4">
        <v>28213.698100000001</v>
      </c>
      <c r="C29" s="4">
        <v>6476.0398999999998</v>
      </c>
      <c r="D29" s="4">
        <v>2654.0533999999998</v>
      </c>
      <c r="E29" s="4">
        <v>3821.9866000000002</v>
      </c>
      <c r="F29" s="5">
        <v>10403.1273</v>
      </c>
      <c r="G29" s="4">
        <v>1264.4093</v>
      </c>
      <c r="H29" s="4">
        <v>9138.7178999999996</v>
      </c>
      <c r="I29" s="5">
        <v>1781.4012</v>
      </c>
      <c r="J29" s="4">
        <v>71.911799999999999</v>
      </c>
      <c r="K29" s="4">
        <v>1709.4893999999999</v>
      </c>
      <c r="L29" s="4">
        <v>5872.3343999999997</v>
      </c>
      <c r="M29" s="4">
        <v>5831.0640999999996</v>
      </c>
      <c r="N29" s="4">
        <v>41.270299999999999</v>
      </c>
      <c r="O29" s="4">
        <v>0</v>
      </c>
      <c r="P29" s="4">
        <v>9.3793000000000006</v>
      </c>
      <c r="Q29" s="4">
        <v>9.3793000000000006</v>
      </c>
      <c r="R29" s="4">
        <v>3671.4159</v>
      </c>
      <c r="S29" s="4">
        <v>16311.477800000001</v>
      </c>
      <c r="T29" s="4">
        <v>11902.2202</v>
      </c>
      <c r="U29" s="4">
        <v>0</v>
      </c>
      <c r="V29" s="4">
        <v>0</v>
      </c>
      <c r="W29" s="4">
        <v>7001.5826999999999</v>
      </c>
      <c r="X29" s="4">
        <v>0</v>
      </c>
      <c r="Y29" s="4">
        <v>7001.5826999999999</v>
      </c>
      <c r="Z29" s="4">
        <v>983.49019999999996</v>
      </c>
      <c r="AA29" s="4">
        <v>2.1282000000000001</v>
      </c>
      <c r="AB29" s="4">
        <v>981.36199999999997</v>
      </c>
      <c r="AC29" s="4">
        <v>3917.1473999999998</v>
      </c>
      <c r="AD29" s="4">
        <v>12850.5950851326</v>
      </c>
      <c r="AE29" s="4">
        <v>11419.754220000001</v>
      </c>
      <c r="AF29" s="4">
        <v>1430.8408651326499</v>
      </c>
      <c r="AG29" s="4">
        <v>-33.736820439681999</v>
      </c>
      <c r="AH29" s="4">
        <v>-43.523351760316899</v>
      </c>
      <c r="AI29" s="4">
        <v>9.7865313206349303</v>
      </c>
    </row>
    <row r="30" spans="1:35" x14ac:dyDescent="0.2">
      <c r="A30" s="3">
        <v>39965</v>
      </c>
      <c r="B30" s="4">
        <v>24135.912100000001</v>
      </c>
      <c r="C30" s="4">
        <v>5109.5119000000004</v>
      </c>
      <c r="D30" s="4">
        <v>2505.8148000000001</v>
      </c>
      <c r="E30" s="4">
        <v>2603.6970999999999</v>
      </c>
      <c r="F30" s="5">
        <v>8650.9760000000006</v>
      </c>
      <c r="G30" s="4">
        <v>1434.982</v>
      </c>
      <c r="H30" s="4">
        <v>7215.9939000000004</v>
      </c>
      <c r="I30" s="5">
        <v>1755.7732000000001</v>
      </c>
      <c r="J30" s="4">
        <v>44.781300000000002</v>
      </c>
      <c r="K30" s="4">
        <v>1710.9919</v>
      </c>
      <c r="L30" s="4">
        <v>4889.3635000000004</v>
      </c>
      <c r="M30" s="4">
        <v>4848.0434999999998</v>
      </c>
      <c r="N30" s="4">
        <v>41.320099999999996</v>
      </c>
      <c r="O30" s="4">
        <v>0</v>
      </c>
      <c r="P30" s="4">
        <v>9.6812000000000005</v>
      </c>
      <c r="Q30" s="4">
        <v>9.6812000000000005</v>
      </c>
      <c r="R30" s="4">
        <v>3720.6062999999999</v>
      </c>
      <c r="S30" s="4">
        <v>12658.999400000001</v>
      </c>
      <c r="T30" s="4">
        <v>11476.912700000001</v>
      </c>
      <c r="U30" s="4">
        <v>0</v>
      </c>
      <c r="V30" s="4">
        <v>0</v>
      </c>
      <c r="W30" s="4">
        <v>6572.7710999999999</v>
      </c>
      <c r="X30" s="4">
        <v>0</v>
      </c>
      <c r="Y30" s="4">
        <v>6572.7710999999999</v>
      </c>
      <c r="Z30" s="4">
        <v>957.43380000000002</v>
      </c>
      <c r="AA30" s="4">
        <v>4.2797999999999998</v>
      </c>
      <c r="AB30" s="4">
        <v>953.154</v>
      </c>
      <c r="AC30" s="4">
        <v>3946.7078000000001</v>
      </c>
      <c r="AD30" s="4">
        <v>10109.0418657058</v>
      </c>
      <c r="AE30" s="4">
        <v>8342.0542333256508</v>
      </c>
      <c r="AF30" s="4">
        <v>1766.98763238019</v>
      </c>
      <c r="AG30" s="4">
        <v>-1820.1744685327899</v>
      </c>
      <c r="AH30" s="4">
        <v>-2304.2720543065602</v>
      </c>
      <c r="AI30" s="4">
        <v>484.09758577376999</v>
      </c>
    </row>
    <row r="31" spans="1:35" x14ac:dyDescent="0.2">
      <c r="A31" s="3">
        <v>40057</v>
      </c>
      <c r="B31" s="4">
        <v>25331.086500000001</v>
      </c>
      <c r="C31" s="4">
        <v>5708.4859999999999</v>
      </c>
      <c r="D31" s="4">
        <v>2822.0583000000001</v>
      </c>
      <c r="E31" s="4">
        <v>2886.4276</v>
      </c>
      <c r="F31" s="5">
        <v>7564.0506999999998</v>
      </c>
      <c r="G31" s="4">
        <v>760.42309999999998</v>
      </c>
      <c r="H31" s="4">
        <v>6803.6274999999996</v>
      </c>
      <c r="I31" s="5">
        <v>2115.6601999999998</v>
      </c>
      <c r="J31" s="4">
        <v>381.23700000000002</v>
      </c>
      <c r="K31" s="4">
        <v>1734.4232</v>
      </c>
      <c r="L31" s="4">
        <v>5917.1188000000002</v>
      </c>
      <c r="M31" s="4">
        <v>5875.8050999999996</v>
      </c>
      <c r="N31" s="4">
        <v>41.313699999999997</v>
      </c>
      <c r="O31" s="4">
        <v>0</v>
      </c>
      <c r="P31" s="4">
        <v>10.2851</v>
      </c>
      <c r="Q31" s="4">
        <v>10.2851</v>
      </c>
      <c r="R31" s="4">
        <v>4015.4857999999999</v>
      </c>
      <c r="S31" s="4">
        <v>12587.0543</v>
      </c>
      <c r="T31" s="4">
        <v>12744.0322</v>
      </c>
      <c r="U31" s="4">
        <v>0</v>
      </c>
      <c r="V31" s="4">
        <v>0</v>
      </c>
      <c r="W31" s="4">
        <v>7430.2839999999997</v>
      </c>
      <c r="X31" s="4">
        <v>0</v>
      </c>
      <c r="Y31" s="4">
        <v>7430.2839999999997</v>
      </c>
      <c r="Z31" s="4">
        <v>991.97469999999998</v>
      </c>
      <c r="AA31" s="4">
        <v>6.4553000000000003</v>
      </c>
      <c r="AB31" s="4">
        <v>985.51940000000002</v>
      </c>
      <c r="AC31" s="4">
        <v>4321.7735000000002</v>
      </c>
      <c r="AD31" s="4">
        <v>9373.8696107519099</v>
      </c>
      <c r="AE31" s="4">
        <v>7486.11815464748</v>
      </c>
      <c r="AF31" s="4">
        <v>1887.75145610444</v>
      </c>
      <c r="AG31" s="4">
        <v>-1334.7898985859399</v>
      </c>
      <c r="AH31" s="4">
        <v>-1345.8502018171901</v>
      </c>
      <c r="AI31" s="4">
        <v>11.06030323125</v>
      </c>
    </row>
    <row r="32" spans="1:35" x14ac:dyDescent="0.2">
      <c r="A32" s="3">
        <v>40148</v>
      </c>
      <c r="B32" s="4">
        <v>22778.536599999999</v>
      </c>
      <c r="C32" s="4">
        <v>5065.3360000000002</v>
      </c>
      <c r="D32" s="4">
        <v>3007.1794</v>
      </c>
      <c r="E32" s="4">
        <v>2058.1565999999998</v>
      </c>
      <c r="F32" s="5">
        <v>6524.8693000000003</v>
      </c>
      <c r="G32" s="4">
        <v>560.29570000000001</v>
      </c>
      <c r="H32" s="4">
        <v>5964.5735999999997</v>
      </c>
      <c r="I32" s="5">
        <v>2020.2584999999999</v>
      </c>
      <c r="J32" s="4">
        <v>145.8552</v>
      </c>
      <c r="K32" s="4">
        <v>1874.4032999999999</v>
      </c>
      <c r="L32" s="4">
        <v>5224.8398999999999</v>
      </c>
      <c r="M32" s="4">
        <v>5183.4634999999998</v>
      </c>
      <c r="N32" s="4">
        <v>41.376399999999997</v>
      </c>
      <c r="O32" s="4">
        <v>0</v>
      </c>
      <c r="P32" s="4">
        <v>9.5625</v>
      </c>
      <c r="Q32" s="4">
        <v>9.5625</v>
      </c>
      <c r="R32" s="4">
        <v>3933.6703000000002</v>
      </c>
      <c r="S32" s="4">
        <v>9848.5465000000004</v>
      </c>
      <c r="T32" s="4">
        <v>12929.9902</v>
      </c>
      <c r="U32" s="4">
        <v>0</v>
      </c>
      <c r="V32" s="4">
        <v>0</v>
      </c>
      <c r="W32" s="4">
        <v>7505.1553999999996</v>
      </c>
      <c r="X32" s="4">
        <v>0</v>
      </c>
      <c r="Y32" s="4">
        <v>7505.1553999999996</v>
      </c>
      <c r="Z32" s="4">
        <v>983.53129999999999</v>
      </c>
      <c r="AA32" s="4">
        <v>8.6306999999999992</v>
      </c>
      <c r="AB32" s="4">
        <v>974.90060000000005</v>
      </c>
      <c r="AC32" s="4">
        <v>4441.3033999999998</v>
      </c>
      <c r="AD32" s="4">
        <v>7446.9685895800103</v>
      </c>
      <c r="AE32" s="4">
        <v>5714.5561200000002</v>
      </c>
      <c r="AF32" s="4">
        <v>1732.4124695800101</v>
      </c>
      <c r="AG32" s="4">
        <v>-1168.87729146774</v>
      </c>
      <c r="AH32" s="4">
        <v>-1178.71046733871</v>
      </c>
      <c r="AI32" s="4">
        <v>9.8331758709677501</v>
      </c>
    </row>
    <row r="33" spans="1:35" x14ac:dyDescent="0.2">
      <c r="A33" s="3">
        <v>40238</v>
      </c>
      <c r="B33" s="4">
        <v>23859.351500000001</v>
      </c>
      <c r="C33" s="4">
        <v>5446.1098000000002</v>
      </c>
      <c r="D33" s="4">
        <v>2830.8833</v>
      </c>
      <c r="E33" s="4">
        <v>2615.2266</v>
      </c>
      <c r="F33" s="5">
        <v>6390.2791999999999</v>
      </c>
      <c r="G33" s="4">
        <v>485.93959999999998</v>
      </c>
      <c r="H33" s="4">
        <v>5904.3396000000002</v>
      </c>
      <c r="I33" s="5">
        <v>2178.9908999999998</v>
      </c>
      <c r="J33" s="4">
        <v>239.03</v>
      </c>
      <c r="K33" s="4">
        <v>1939.9609</v>
      </c>
      <c r="L33" s="4">
        <v>5501.4754000000003</v>
      </c>
      <c r="M33" s="4">
        <v>5459.7079999999996</v>
      </c>
      <c r="N33" s="4">
        <v>41.767400000000002</v>
      </c>
      <c r="O33" s="4">
        <v>0</v>
      </c>
      <c r="P33" s="4">
        <v>10.6456</v>
      </c>
      <c r="Q33" s="4">
        <v>10.6456</v>
      </c>
      <c r="R33" s="4">
        <v>4331.8505999999998</v>
      </c>
      <c r="S33" s="4">
        <v>10096.2202</v>
      </c>
      <c r="T33" s="4">
        <v>13763.131299999999</v>
      </c>
      <c r="U33" s="4">
        <v>0</v>
      </c>
      <c r="V33" s="4">
        <v>0</v>
      </c>
      <c r="W33" s="4">
        <v>8179.4528</v>
      </c>
      <c r="X33" s="4">
        <v>0</v>
      </c>
      <c r="Y33" s="4">
        <v>8179.4528</v>
      </c>
      <c r="Z33" s="4">
        <v>980.94759999999997</v>
      </c>
      <c r="AA33" s="4">
        <v>7.1234000000000002</v>
      </c>
      <c r="AB33" s="4">
        <v>973.82420000000002</v>
      </c>
      <c r="AC33" s="4">
        <v>4602.7308999999996</v>
      </c>
      <c r="AD33" s="4">
        <v>7633.1191167300003</v>
      </c>
      <c r="AE33" s="4">
        <v>5857.5845432400001</v>
      </c>
      <c r="AF33" s="4">
        <v>1775.53457349</v>
      </c>
      <c r="AG33" s="4">
        <v>37.471948984127003</v>
      </c>
      <c r="AH33" s="4">
        <v>28.7008141111111</v>
      </c>
      <c r="AI33" s="4">
        <v>8.7711348730158605</v>
      </c>
    </row>
    <row r="34" spans="1:35" x14ac:dyDescent="0.2">
      <c r="A34" s="3">
        <v>40330</v>
      </c>
      <c r="B34" s="4">
        <v>25509.1682</v>
      </c>
      <c r="C34" s="4">
        <v>7193.4395000000004</v>
      </c>
      <c r="D34" s="4">
        <v>3174.1302999999998</v>
      </c>
      <c r="E34" s="4">
        <v>4019.3092000000001</v>
      </c>
      <c r="F34" s="5">
        <v>5993.6851999999999</v>
      </c>
      <c r="G34" s="4">
        <v>427.53879999999998</v>
      </c>
      <c r="H34" s="4">
        <v>5566.1463999999996</v>
      </c>
      <c r="I34" s="5">
        <v>2301.1336000000001</v>
      </c>
      <c r="J34" s="4">
        <v>348.86070000000001</v>
      </c>
      <c r="K34" s="4">
        <v>1952.2728999999999</v>
      </c>
      <c r="L34" s="4">
        <v>5340.2151000000003</v>
      </c>
      <c r="M34" s="4">
        <v>5298.0360000000001</v>
      </c>
      <c r="N34" s="4">
        <v>42.179099999999998</v>
      </c>
      <c r="O34" s="4">
        <v>0</v>
      </c>
      <c r="P34" s="4">
        <v>15.827199999999999</v>
      </c>
      <c r="Q34" s="4">
        <v>15.827199999999999</v>
      </c>
      <c r="R34" s="4">
        <v>4664.8674000000001</v>
      </c>
      <c r="S34" s="4">
        <v>10525.006299999999</v>
      </c>
      <c r="T34" s="4">
        <v>14984.1618</v>
      </c>
      <c r="U34" s="4">
        <v>0</v>
      </c>
      <c r="V34" s="4">
        <v>0</v>
      </c>
      <c r="W34" s="4">
        <v>9021.7239000000009</v>
      </c>
      <c r="X34" s="4">
        <v>0</v>
      </c>
      <c r="Y34" s="4">
        <v>9021.7239000000009</v>
      </c>
      <c r="Z34" s="4">
        <v>1001.271</v>
      </c>
      <c r="AA34" s="4">
        <v>5.8792</v>
      </c>
      <c r="AB34" s="4">
        <v>995.39179999999999</v>
      </c>
      <c r="AC34" s="4">
        <v>4961.1669000000002</v>
      </c>
      <c r="AD34" s="4">
        <v>7850.4870590700002</v>
      </c>
      <c r="AE34" s="4">
        <v>5864.8457457900004</v>
      </c>
      <c r="AF34" s="4">
        <v>1985.6413132800001</v>
      </c>
      <c r="AG34" s="4">
        <v>132.52931451612901</v>
      </c>
      <c r="AH34" s="4">
        <v>-54.1249720483871</v>
      </c>
      <c r="AI34" s="4">
        <v>186.65428656451601</v>
      </c>
    </row>
    <row r="35" spans="1:35" x14ac:dyDescent="0.2">
      <c r="A35" s="3">
        <v>40422</v>
      </c>
      <c r="B35" s="4">
        <v>24582.8253</v>
      </c>
      <c r="C35" s="4">
        <v>6627.6959999999999</v>
      </c>
      <c r="D35" s="4">
        <v>3210.5612000000001</v>
      </c>
      <c r="E35" s="4">
        <v>3417.1349</v>
      </c>
      <c r="F35" s="5">
        <v>7043.2134999999998</v>
      </c>
      <c r="G35" s="4">
        <v>972.79650000000004</v>
      </c>
      <c r="H35" s="4">
        <v>6070.4170000000004</v>
      </c>
      <c r="I35" s="5">
        <v>2231.1624000000002</v>
      </c>
      <c r="J35" s="4">
        <v>258.5985</v>
      </c>
      <c r="K35" s="4">
        <v>1972.5639000000001</v>
      </c>
      <c r="L35" s="4">
        <v>4069.8442</v>
      </c>
      <c r="M35" s="4">
        <v>4020.4032999999999</v>
      </c>
      <c r="N35" s="4">
        <v>49.440899999999999</v>
      </c>
      <c r="O35" s="4">
        <v>0</v>
      </c>
      <c r="P35" s="4">
        <v>16.531500000000001</v>
      </c>
      <c r="Q35" s="4">
        <v>16.531500000000001</v>
      </c>
      <c r="R35" s="4">
        <v>4594.3777</v>
      </c>
      <c r="S35" s="4">
        <v>8342.7428</v>
      </c>
      <c r="T35" s="4">
        <v>16240.082399999999</v>
      </c>
      <c r="U35" s="4">
        <v>0</v>
      </c>
      <c r="V35" s="4">
        <v>0</v>
      </c>
      <c r="W35" s="4">
        <v>10393.7011</v>
      </c>
      <c r="X35" s="4">
        <v>0</v>
      </c>
      <c r="Y35" s="4">
        <v>10393.7011</v>
      </c>
      <c r="Z35" s="4">
        <v>967.77570000000003</v>
      </c>
      <c r="AA35" s="4">
        <v>4.8522999999999996</v>
      </c>
      <c r="AB35" s="4">
        <v>962.92340000000002</v>
      </c>
      <c r="AC35" s="4">
        <v>4878.6055999999999</v>
      </c>
      <c r="AD35" s="4">
        <v>8117.3641470000002</v>
      </c>
      <c r="AE35" s="4">
        <v>6236.0789139999997</v>
      </c>
      <c r="AF35" s="4">
        <v>1881.2852330000001</v>
      </c>
      <c r="AG35" s="4">
        <v>740.62243161904803</v>
      </c>
      <c r="AH35" s="4">
        <v>730.17959390476301</v>
      </c>
      <c r="AI35" s="4">
        <v>10.4428377142857</v>
      </c>
    </row>
    <row r="36" spans="1:35" x14ac:dyDescent="0.2">
      <c r="A36" s="3">
        <v>40513</v>
      </c>
      <c r="B36" s="4">
        <v>22954.439900000001</v>
      </c>
      <c r="C36" s="4">
        <v>6068.6054000000004</v>
      </c>
      <c r="D36" s="4">
        <v>3707.848</v>
      </c>
      <c r="E36" s="4">
        <v>2360.7574</v>
      </c>
      <c r="F36" s="5">
        <v>7267.7370000000001</v>
      </c>
      <c r="G36" s="4">
        <v>1416.529</v>
      </c>
      <c r="H36" s="4">
        <v>5851.2079999999996</v>
      </c>
      <c r="I36" s="5">
        <v>2162.1035000000002</v>
      </c>
      <c r="J36" s="4">
        <v>115.3736</v>
      </c>
      <c r="K36" s="4">
        <v>2046.7299</v>
      </c>
      <c r="L36" s="4">
        <v>3416.5902999999998</v>
      </c>
      <c r="M36" s="4">
        <v>3371.6174000000001</v>
      </c>
      <c r="N36" s="4">
        <v>44.972799999999999</v>
      </c>
      <c r="O36" s="4">
        <v>0</v>
      </c>
      <c r="P36" s="4">
        <v>15.232100000000001</v>
      </c>
      <c r="Q36" s="4">
        <v>15.232100000000001</v>
      </c>
      <c r="R36" s="4">
        <v>4024.1716000000001</v>
      </c>
      <c r="S36" s="4">
        <v>5891.7677999999996</v>
      </c>
      <c r="T36" s="4">
        <v>17062.6721</v>
      </c>
      <c r="U36" s="4">
        <v>0</v>
      </c>
      <c r="V36" s="4">
        <v>0</v>
      </c>
      <c r="W36" s="4">
        <v>11235.1844</v>
      </c>
      <c r="X36" s="4">
        <v>0</v>
      </c>
      <c r="Y36" s="4">
        <v>11235.1844</v>
      </c>
      <c r="Z36" s="4">
        <v>952.62710000000004</v>
      </c>
      <c r="AA36" s="4">
        <v>4.0048000000000004</v>
      </c>
      <c r="AB36" s="4">
        <v>948.62220000000002</v>
      </c>
      <c r="AC36" s="4">
        <v>4874.8606</v>
      </c>
      <c r="AD36" s="4">
        <v>7754.7084160000004</v>
      </c>
      <c r="AE36" s="4">
        <v>5957.7132369999999</v>
      </c>
      <c r="AF36" s="4">
        <v>1796.995179</v>
      </c>
      <c r="AG36" s="4">
        <v>37.623440332258099</v>
      </c>
      <c r="AH36" s="4">
        <v>28.915244580645201</v>
      </c>
      <c r="AI36" s="4">
        <v>8.7081957516129105</v>
      </c>
    </row>
    <row r="37" spans="1:35" x14ac:dyDescent="0.2">
      <c r="A37" s="3">
        <v>40603</v>
      </c>
      <c r="B37" s="4">
        <v>26383.772799999999</v>
      </c>
      <c r="C37" s="4">
        <v>7649.4211999999998</v>
      </c>
      <c r="D37" s="4">
        <v>3712.5812999999998</v>
      </c>
      <c r="E37" s="4">
        <v>3936.8398999999999</v>
      </c>
      <c r="F37" s="5">
        <v>7664.5398999999998</v>
      </c>
      <c r="G37" s="4">
        <v>1650.5160000000001</v>
      </c>
      <c r="H37" s="4">
        <v>6014.0240000000003</v>
      </c>
      <c r="I37" s="5">
        <v>2322.9324999999999</v>
      </c>
      <c r="J37" s="4">
        <v>297.27460000000002</v>
      </c>
      <c r="K37" s="4">
        <v>2025.6578</v>
      </c>
      <c r="L37" s="4">
        <v>4446.2164000000002</v>
      </c>
      <c r="M37" s="4">
        <v>4396.5820999999996</v>
      </c>
      <c r="N37" s="4">
        <v>49.634399999999999</v>
      </c>
      <c r="O37" s="4">
        <v>0</v>
      </c>
      <c r="P37" s="4">
        <v>14.3371</v>
      </c>
      <c r="Q37" s="4">
        <v>14.3371</v>
      </c>
      <c r="R37" s="4">
        <v>4286.3256000000001</v>
      </c>
      <c r="S37" s="4">
        <v>8569.3417000000009</v>
      </c>
      <c r="T37" s="4">
        <v>17814.431100000002</v>
      </c>
      <c r="U37" s="4">
        <v>0</v>
      </c>
      <c r="V37" s="4">
        <v>0</v>
      </c>
      <c r="W37" s="4">
        <v>11819.061600000001</v>
      </c>
      <c r="X37" s="4">
        <v>0</v>
      </c>
      <c r="Y37" s="4">
        <v>11819.061600000001</v>
      </c>
      <c r="Z37" s="4">
        <v>957.9289</v>
      </c>
      <c r="AA37" s="4">
        <v>4.0384000000000002</v>
      </c>
      <c r="AB37" s="4">
        <v>953.8904</v>
      </c>
      <c r="AC37" s="4">
        <v>5037.4405999999999</v>
      </c>
      <c r="AD37" s="4">
        <v>8120.8959948800002</v>
      </c>
      <c r="AE37" s="4">
        <v>6238.9814977599999</v>
      </c>
      <c r="AF37" s="4">
        <v>1881.9144971200001</v>
      </c>
      <c r="AG37" s="4">
        <v>39.064705137499999</v>
      </c>
      <c r="AH37" s="4">
        <v>30.140170725000001</v>
      </c>
      <c r="AI37" s="4">
        <v>8.9245344124999999</v>
      </c>
    </row>
    <row r="38" spans="1:35" x14ac:dyDescent="0.2">
      <c r="A38" s="3">
        <v>40695</v>
      </c>
      <c r="B38" s="4">
        <v>28734.845499999999</v>
      </c>
      <c r="C38" s="4">
        <v>8272.3024999999998</v>
      </c>
      <c r="D38" s="4">
        <v>4118.7065000000002</v>
      </c>
      <c r="E38" s="4">
        <v>4153.5959999999995</v>
      </c>
      <c r="F38" s="5">
        <v>9149.3096999999998</v>
      </c>
      <c r="G38" s="4">
        <v>1603.9354000000001</v>
      </c>
      <c r="H38" s="4">
        <v>7545.3742000000002</v>
      </c>
      <c r="I38" s="5">
        <v>2391.5286999999998</v>
      </c>
      <c r="J38" s="4">
        <v>394.18979999999999</v>
      </c>
      <c r="K38" s="4">
        <v>1997.3389</v>
      </c>
      <c r="L38" s="4">
        <v>4381.4054999999998</v>
      </c>
      <c r="M38" s="4">
        <v>4333.5609999999997</v>
      </c>
      <c r="N38" s="4">
        <v>47.844499999999996</v>
      </c>
      <c r="O38" s="4">
        <v>0</v>
      </c>
      <c r="P38" s="4">
        <v>14.3674</v>
      </c>
      <c r="Q38" s="4">
        <v>14.3674</v>
      </c>
      <c r="R38" s="4">
        <v>4525.9318000000003</v>
      </c>
      <c r="S38" s="4">
        <v>10484.1276</v>
      </c>
      <c r="T38" s="4">
        <v>18250.7179</v>
      </c>
      <c r="U38" s="4">
        <v>0</v>
      </c>
      <c r="V38" s="4">
        <v>0</v>
      </c>
      <c r="W38" s="4">
        <v>12435.7575</v>
      </c>
      <c r="X38" s="4">
        <v>0</v>
      </c>
      <c r="Y38" s="4">
        <v>12435.7575</v>
      </c>
      <c r="Z38" s="4">
        <v>935.61630000000002</v>
      </c>
      <c r="AA38" s="4">
        <v>4.0723000000000003</v>
      </c>
      <c r="AB38" s="4">
        <v>931.54399999999998</v>
      </c>
      <c r="AC38" s="4">
        <v>4879.3441000000003</v>
      </c>
      <c r="AD38" s="4">
        <v>8346.2910961451198</v>
      </c>
      <c r="AE38" s="4">
        <v>6252.4442211899895</v>
      </c>
      <c r="AF38" s="4">
        <v>2093.8468749551298</v>
      </c>
      <c r="AG38" s="4">
        <v>246.028179809524</v>
      </c>
      <c r="AH38" s="4">
        <v>29.001375593650799</v>
      </c>
      <c r="AI38" s="4">
        <v>217.026804215873</v>
      </c>
    </row>
    <row r="39" spans="1:35" x14ac:dyDescent="0.2">
      <c r="A39" s="3">
        <v>40787</v>
      </c>
      <c r="B39" s="4">
        <v>33217.633399999999</v>
      </c>
      <c r="C39" s="4">
        <v>8769.5490000000009</v>
      </c>
      <c r="D39" s="4">
        <v>4621.9075999999995</v>
      </c>
      <c r="E39" s="4">
        <v>4147.6414000000004</v>
      </c>
      <c r="F39" s="5">
        <v>11955.3084</v>
      </c>
      <c r="G39" s="4">
        <v>2413.6783999999998</v>
      </c>
      <c r="H39" s="4">
        <v>9541.6299999999992</v>
      </c>
      <c r="I39" s="5">
        <v>2332.0230999999999</v>
      </c>
      <c r="J39" s="4">
        <v>314.01389999999998</v>
      </c>
      <c r="K39" s="4">
        <v>2018.0092</v>
      </c>
      <c r="L39" s="4">
        <v>5330.2947000000004</v>
      </c>
      <c r="M39" s="4">
        <v>5278.1585999999998</v>
      </c>
      <c r="N39" s="4">
        <v>52.136099999999999</v>
      </c>
      <c r="O39" s="4">
        <v>0</v>
      </c>
      <c r="P39" s="4">
        <v>14.3284</v>
      </c>
      <c r="Q39" s="4">
        <v>14.3284</v>
      </c>
      <c r="R39" s="4">
        <v>4816.1297999999997</v>
      </c>
      <c r="S39" s="4">
        <v>12731.824699999999</v>
      </c>
      <c r="T39" s="4">
        <v>20485.808700000001</v>
      </c>
      <c r="U39" s="4">
        <v>0</v>
      </c>
      <c r="V39" s="4">
        <v>0</v>
      </c>
      <c r="W39" s="4">
        <v>14403.816999999999</v>
      </c>
      <c r="X39" s="4">
        <v>0</v>
      </c>
      <c r="Y39" s="4">
        <v>14403.816999999999</v>
      </c>
      <c r="Z39" s="4">
        <v>959.77610000000004</v>
      </c>
      <c r="AA39" s="4">
        <v>4.1064999999999996</v>
      </c>
      <c r="AB39" s="4">
        <v>955.66959999999995</v>
      </c>
      <c r="AC39" s="4">
        <v>5122.2156999999997</v>
      </c>
      <c r="AD39" s="4">
        <v>9092.9859825291005</v>
      </c>
      <c r="AE39" s="4">
        <v>6811.8362359277398</v>
      </c>
      <c r="AF39" s="4">
        <v>2281.1497466013602</v>
      </c>
      <c r="AG39" s="4">
        <v>35.467048525000003</v>
      </c>
      <c r="AH39" s="4">
        <v>26.464853049999999</v>
      </c>
      <c r="AI39" s="4">
        <v>9.0021954750000006</v>
      </c>
    </row>
    <row r="40" spans="1:35" x14ac:dyDescent="0.2">
      <c r="A40" s="3">
        <v>40878</v>
      </c>
      <c r="B40" s="4">
        <v>32264.417399999998</v>
      </c>
      <c r="C40" s="4">
        <v>8028.5113000000001</v>
      </c>
      <c r="D40" s="4">
        <v>5189.7435999999998</v>
      </c>
      <c r="E40" s="4">
        <v>2838.7676999999999</v>
      </c>
      <c r="F40" s="5">
        <v>11450.350200000001</v>
      </c>
      <c r="G40" s="4">
        <v>2629.9529000000002</v>
      </c>
      <c r="H40" s="4">
        <v>8820.3973000000005</v>
      </c>
      <c r="I40" s="5">
        <v>2702.6914999999999</v>
      </c>
      <c r="J40" s="4">
        <v>458.56150000000002</v>
      </c>
      <c r="K40" s="4">
        <v>2244.13</v>
      </c>
      <c r="L40" s="4">
        <v>5410.7942000000003</v>
      </c>
      <c r="M40" s="4">
        <v>5078.0691999999999</v>
      </c>
      <c r="N40" s="4">
        <v>332.72500000000002</v>
      </c>
      <c r="O40" s="4">
        <v>0</v>
      </c>
      <c r="P40" s="4">
        <v>15.2897</v>
      </c>
      <c r="Q40" s="4">
        <v>15.2897</v>
      </c>
      <c r="R40" s="4">
        <v>4656.7804999999998</v>
      </c>
      <c r="S40" s="4">
        <v>10399.4619</v>
      </c>
      <c r="T40" s="4">
        <v>21864.9555</v>
      </c>
      <c r="U40" s="4">
        <v>0</v>
      </c>
      <c r="V40" s="4">
        <v>0</v>
      </c>
      <c r="W40" s="4">
        <v>15289.910599999999</v>
      </c>
      <c r="X40" s="4">
        <v>0</v>
      </c>
      <c r="Y40" s="4">
        <v>15289.910599999999</v>
      </c>
      <c r="Z40" s="4">
        <v>979.37379999999996</v>
      </c>
      <c r="AA40" s="4">
        <v>4.141</v>
      </c>
      <c r="AB40" s="4">
        <v>975.2328</v>
      </c>
      <c r="AC40" s="4">
        <v>5595.6711999999998</v>
      </c>
      <c r="AD40" s="4">
        <v>9158.0045483640897</v>
      </c>
      <c r="AE40" s="4">
        <v>6860.6627619128203</v>
      </c>
      <c r="AF40" s="4">
        <v>2297.3417864512699</v>
      </c>
      <c r="AG40" s="4">
        <v>38.445831455737697</v>
      </c>
      <c r="AH40" s="4">
        <v>28.929181360655701</v>
      </c>
      <c r="AI40" s="4">
        <v>9.5166500950819604</v>
      </c>
    </row>
    <row r="41" spans="1:35" x14ac:dyDescent="0.2">
      <c r="A41" s="3">
        <v>40969</v>
      </c>
      <c r="B41" s="4">
        <v>31975.201099999998</v>
      </c>
      <c r="C41" s="4">
        <v>7702.5358999999999</v>
      </c>
      <c r="D41" s="4">
        <v>4998.6409000000003</v>
      </c>
      <c r="E41" s="4">
        <v>2703.895</v>
      </c>
      <c r="F41" s="5">
        <v>11768.361500000001</v>
      </c>
      <c r="G41" s="4">
        <v>2848.8591000000001</v>
      </c>
      <c r="H41" s="4">
        <v>8919.5023999999994</v>
      </c>
      <c r="I41" s="5">
        <v>2617.9322999999999</v>
      </c>
      <c r="J41" s="4">
        <v>459.101</v>
      </c>
      <c r="K41" s="4">
        <v>2158.8312999999998</v>
      </c>
      <c r="L41" s="4">
        <v>4651.4769999999999</v>
      </c>
      <c r="M41" s="4">
        <v>3817.8382999999999</v>
      </c>
      <c r="N41" s="4">
        <v>833.63869999999997</v>
      </c>
      <c r="O41" s="4">
        <v>0</v>
      </c>
      <c r="P41" s="4">
        <v>15.456899999999999</v>
      </c>
      <c r="Q41" s="4">
        <v>15.456899999999999</v>
      </c>
      <c r="R41" s="4">
        <v>5219.4373999999998</v>
      </c>
      <c r="S41" s="4">
        <v>9960.4292999999998</v>
      </c>
      <c r="T41" s="4">
        <v>22014.771799999999</v>
      </c>
      <c r="U41" s="4">
        <v>0</v>
      </c>
      <c r="V41" s="4">
        <v>0</v>
      </c>
      <c r="W41" s="4">
        <v>15441.8663</v>
      </c>
      <c r="X41" s="4">
        <v>0</v>
      </c>
      <c r="Y41" s="4">
        <v>15441.8663</v>
      </c>
      <c r="Z41" s="4">
        <v>927.80269999999996</v>
      </c>
      <c r="AA41" s="4">
        <v>4.1349999999999998</v>
      </c>
      <c r="AB41" s="4">
        <v>923.66769999999997</v>
      </c>
      <c r="AC41" s="4">
        <v>5645.1027999999997</v>
      </c>
      <c r="AD41" s="4">
        <v>9472.8203577941094</v>
      </c>
      <c r="AE41" s="4">
        <v>7300.3023342911602</v>
      </c>
      <c r="AF41" s="4">
        <v>2172.5180235029402</v>
      </c>
      <c r="AG41" s="4">
        <v>872.366189848864</v>
      </c>
      <c r="AH41" s="4">
        <v>860.84398793840205</v>
      </c>
      <c r="AI41" s="4">
        <v>11.5222019104614</v>
      </c>
    </row>
    <row r="42" spans="1:35" x14ac:dyDescent="0.2">
      <c r="A42" s="3">
        <v>41061</v>
      </c>
      <c r="B42" s="4">
        <v>34440.840700000001</v>
      </c>
      <c r="C42" s="4">
        <v>7851.0128000000004</v>
      </c>
      <c r="D42" s="4">
        <v>5086.0207</v>
      </c>
      <c r="E42" s="4">
        <v>2764.9922000000001</v>
      </c>
      <c r="F42" s="5">
        <v>12707.8073</v>
      </c>
      <c r="G42" s="4">
        <v>3080.6696000000002</v>
      </c>
      <c r="H42" s="4">
        <v>9627.1376999999993</v>
      </c>
      <c r="I42" s="5">
        <v>3111.2233999999999</v>
      </c>
      <c r="J42" s="4">
        <v>941.21140000000003</v>
      </c>
      <c r="K42" s="4">
        <v>2170.0120999999999</v>
      </c>
      <c r="L42" s="4">
        <v>5249.74</v>
      </c>
      <c r="M42" s="4">
        <v>4160.8056999999999</v>
      </c>
      <c r="N42" s="4">
        <v>1088.9342999999999</v>
      </c>
      <c r="O42" s="4">
        <v>0</v>
      </c>
      <c r="P42" s="4">
        <v>16.302299999999999</v>
      </c>
      <c r="Q42" s="4">
        <v>16.302299999999999</v>
      </c>
      <c r="R42" s="4">
        <v>5504.7548999999999</v>
      </c>
      <c r="S42" s="4">
        <v>11427.790499999999</v>
      </c>
      <c r="T42" s="4">
        <v>23013.050200000001</v>
      </c>
      <c r="U42" s="4">
        <v>0</v>
      </c>
      <c r="V42" s="4">
        <v>0</v>
      </c>
      <c r="W42" s="4">
        <v>16485.8501</v>
      </c>
      <c r="X42" s="4">
        <v>0</v>
      </c>
      <c r="Y42" s="4">
        <v>16485.8501</v>
      </c>
      <c r="Z42" s="4">
        <v>938.16989999999998</v>
      </c>
      <c r="AA42" s="4">
        <v>4.1291000000000002</v>
      </c>
      <c r="AB42" s="4">
        <v>934.04079999999999</v>
      </c>
      <c r="AC42" s="4">
        <v>5589.0302000000001</v>
      </c>
      <c r="AD42" s="4">
        <v>10403.0136287123</v>
      </c>
      <c r="AE42" s="4">
        <v>7537.0482266067402</v>
      </c>
      <c r="AF42" s="4">
        <v>2865.9654021055399</v>
      </c>
      <c r="AG42" s="4">
        <v>634.51790357751804</v>
      </c>
      <c r="AH42" s="4">
        <v>24.430360058768098</v>
      </c>
      <c r="AI42" s="4">
        <v>610.08754351874995</v>
      </c>
    </row>
    <row r="43" spans="1:35" x14ac:dyDescent="0.2">
      <c r="A43" s="3">
        <v>41153</v>
      </c>
      <c r="B43" s="4">
        <v>33750.144</v>
      </c>
      <c r="C43" s="4">
        <v>7657.2407000000003</v>
      </c>
      <c r="D43" s="4">
        <v>5001.0146999999997</v>
      </c>
      <c r="E43" s="4">
        <v>2656.2260000000001</v>
      </c>
      <c r="F43" s="5">
        <v>11948.379199999999</v>
      </c>
      <c r="G43" s="4">
        <v>3044.6224999999999</v>
      </c>
      <c r="H43" s="4">
        <v>8903.7566000000006</v>
      </c>
      <c r="I43" s="5">
        <v>2679.4337</v>
      </c>
      <c r="J43" s="4">
        <v>520.10619999999994</v>
      </c>
      <c r="K43" s="4">
        <v>2159.3274999999999</v>
      </c>
      <c r="L43" s="4">
        <v>5586.9237999999996</v>
      </c>
      <c r="M43" s="4">
        <v>4268.5623999999998</v>
      </c>
      <c r="N43" s="4">
        <v>1318.3613</v>
      </c>
      <c r="O43" s="4">
        <v>0</v>
      </c>
      <c r="P43" s="4">
        <v>16.106200000000001</v>
      </c>
      <c r="Q43" s="4">
        <v>16.106200000000001</v>
      </c>
      <c r="R43" s="4">
        <v>5862.0604999999996</v>
      </c>
      <c r="S43" s="4">
        <v>10637.069100000001</v>
      </c>
      <c r="T43" s="4">
        <v>23113.075000000001</v>
      </c>
      <c r="U43" s="4">
        <v>0</v>
      </c>
      <c r="V43" s="4">
        <v>0</v>
      </c>
      <c r="W43" s="4">
        <v>16417.298900000002</v>
      </c>
      <c r="X43" s="4">
        <v>0</v>
      </c>
      <c r="Y43" s="4">
        <v>16417.298900000002</v>
      </c>
      <c r="Z43" s="4">
        <v>884.63499999999999</v>
      </c>
      <c r="AA43" s="4">
        <v>4.1231999999999998</v>
      </c>
      <c r="AB43" s="4">
        <v>880.51179999999999</v>
      </c>
      <c r="AC43" s="4">
        <v>5811.1410999999998</v>
      </c>
      <c r="AD43" s="4">
        <v>9801.9826538866091</v>
      </c>
      <c r="AE43" s="4">
        <v>7048.2746379502396</v>
      </c>
      <c r="AF43" s="4">
        <v>2753.70801593637</v>
      </c>
      <c r="AG43" s="4">
        <v>41.607311898870002</v>
      </c>
      <c r="AH43" s="4">
        <v>23.388555818439901</v>
      </c>
      <c r="AI43" s="4">
        <v>18.218756080430101</v>
      </c>
    </row>
    <row r="44" spans="1:35" x14ac:dyDescent="0.2">
      <c r="A44" s="3">
        <v>41244</v>
      </c>
      <c r="B44" s="4">
        <v>33701.741800000003</v>
      </c>
      <c r="C44" s="4">
        <v>7653.5057999999999</v>
      </c>
      <c r="D44" s="4">
        <v>5721.6323000000002</v>
      </c>
      <c r="E44" s="4">
        <v>1931.8734999999999</v>
      </c>
      <c r="F44" s="5">
        <v>11984.036</v>
      </c>
      <c r="G44" s="4">
        <v>2145.4911999999999</v>
      </c>
      <c r="H44" s="4">
        <v>9838.5447999999997</v>
      </c>
      <c r="I44" s="5">
        <v>2746.2728999999999</v>
      </c>
      <c r="J44" s="4">
        <v>407.51830000000001</v>
      </c>
      <c r="K44" s="4">
        <v>2338.7545</v>
      </c>
      <c r="L44" s="4">
        <v>6045.2389999999996</v>
      </c>
      <c r="M44" s="4">
        <v>5039.2815000000001</v>
      </c>
      <c r="N44" s="4">
        <v>1005.9575</v>
      </c>
      <c r="O44" s="4">
        <v>0</v>
      </c>
      <c r="P44" s="4">
        <v>16.325500000000002</v>
      </c>
      <c r="Q44" s="4">
        <v>16.325500000000002</v>
      </c>
      <c r="R44" s="4">
        <v>5256.3626999999997</v>
      </c>
      <c r="S44" s="4">
        <v>9717.8631000000005</v>
      </c>
      <c r="T44" s="4">
        <v>23983.878799999999</v>
      </c>
      <c r="U44" s="4">
        <v>0</v>
      </c>
      <c r="V44" s="4">
        <v>0</v>
      </c>
      <c r="W44" s="4">
        <v>17188.338599999999</v>
      </c>
      <c r="X44" s="4">
        <v>0</v>
      </c>
      <c r="Y44" s="4">
        <v>17188.338599999999</v>
      </c>
      <c r="Z44" s="4">
        <v>898.84900000000005</v>
      </c>
      <c r="AA44" s="4">
        <v>4.1173000000000002</v>
      </c>
      <c r="AB44" s="4">
        <v>894.73170000000005</v>
      </c>
      <c r="AC44" s="4">
        <v>5896.6912000000002</v>
      </c>
      <c r="AD44" s="4">
        <v>9993.5379208329396</v>
      </c>
      <c r="AE44" s="4">
        <v>7177.8124294460004</v>
      </c>
      <c r="AF44" s="4">
        <v>2815.7254913869401</v>
      </c>
      <c r="AG44" s="4">
        <v>39.876945251575997</v>
      </c>
      <c r="AH44" s="4">
        <v>21.846730787667902</v>
      </c>
      <c r="AI44" s="4">
        <v>18.030214463908099</v>
      </c>
    </row>
    <row r="45" spans="1:35" x14ac:dyDescent="0.2">
      <c r="A45" s="3">
        <v>41334</v>
      </c>
      <c r="B45" s="4">
        <v>33682.757299999997</v>
      </c>
      <c r="C45" s="4">
        <v>6980.1983</v>
      </c>
      <c r="D45" s="4">
        <v>5200.6347999999998</v>
      </c>
      <c r="E45" s="4">
        <v>1779.5636</v>
      </c>
      <c r="F45" s="5">
        <v>12739.752200000001</v>
      </c>
      <c r="G45" s="4">
        <v>3106.4783000000002</v>
      </c>
      <c r="H45" s="4">
        <v>9633.2739000000001</v>
      </c>
      <c r="I45" s="5">
        <v>2695.7064999999998</v>
      </c>
      <c r="J45" s="4">
        <v>231.6722</v>
      </c>
      <c r="K45" s="4">
        <v>2464.0342999999998</v>
      </c>
      <c r="L45" s="4">
        <v>5487.7183999999997</v>
      </c>
      <c r="M45" s="4">
        <v>4481.6558999999997</v>
      </c>
      <c r="N45" s="4">
        <v>1006.0625</v>
      </c>
      <c r="O45" s="4">
        <v>0</v>
      </c>
      <c r="P45" s="4">
        <v>16.6144</v>
      </c>
      <c r="Q45" s="4">
        <v>16.6144</v>
      </c>
      <c r="R45" s="4">
        <v>5762.7674999999999</v>
      </c>
      <c r="S45" s="4">
        <v>10290.2659</v>
      </c>
      <c r="T45" s="4">
        <v>23392.491399999999</v>
      </c>
      <c r="U45" s="4">
        <v>0</v>
      </c>
      <c r="V45" s="4">
        <v>0</v>
      </c>
      <c r="W45" s="4">
        <v>16880.0664</v>
      </c>
      <c r="X45" s="4">
        <v>0</v>
      </c>
      <c r="Y45" s="4">
        <v>16880.0664</v>
      </c>
      <c r="Z45" s="4">
        <v>873.77560000000005</v>
      </c>
      <c r="AA45" s="4">
        <v>3.8201000000000001</v>
      </c>
      <c r="AB45" s="4">
        <v>869.95550000000003</v>
      </c>
      <c r="AC45" s="4">
        <v>5638.6494000000002</v>
      </c>
      <c r="AD45" s="4">
        <v>9734.1189842823205</v>
      </c>
      <c r="AE45" s="4">
        <v>6972.1612220173902</v>
      </c>
      <c r="AF45" s="4">
        <v>2761.9577622649199</v>
      </c>
      <c r="AG45" s="4">
        <v>36.881472874721602</v>
      </c>
      <c r="AH45" s="4">
        <v>20.090077574496998</v>
      </c>
      <c r="AI45" s="4">
        <v>16.791395300224501</v>
      </c>
    </row>
    <row r="46" spans="1:35" x14ac:dyDescent="0.2">
      <c r="A46" s="3">
        <v>41426</v>
      </c>
      <c r="B46" s="4">
        <v>35720.886100000003</v>
      </c>
      <c r="C46" s="4">
        <v>7913.7340999999997</v>
      </c>
      <c r="D46" s="4">
        <v>5255.1558000000005</v>
      </c>
      <c r="E46" s="4">
        <v>2658.5783000000001</v>
      </c>
      <c r="F46" s="5">
        <v>12320.5898</v>
      </c>
      <c r="G46" s="4">
        <v>2261.1660999999999</v>
      </c>
      <c r="H46" s="4">
        <v>10059.423699999999</v>
      </c>
      <c r="I46" s="5">
        <v>2986.8388</v>
      </c>
      <c r="J46" s="4">
        <v>556.52850000000001</v>
      </c>
      <c r="K46" s="4">
        <v>2430.3103000000001</v>
      </c>
      <c r="L46" s="4">
        <v>6574.9588999999996</v>
      </c>
      <c r="M46" s="4">
        <v>5350.8361000000004</v>
      </c>
      <c r="N46" s="4">
        <v>1224.1229000000001</v>
      </c>
      <c r="O46" s="4">
        <v>0</v>
      </c>
      <c r="P46" s="4">
        <v>17.157399999999999</v>
      </c>
      <c r="Q46" s="4">
        <v>17.157399999999999</v>
      </c>
      <c r="R46" s="4">
        <v>5907.6071000000002</v>
      </c>
      <c r="S46" s="4">
        <v>11262.2942</v>
      </c>
      <c r="T46" s="4">
        <v>24458.591899999999</v>
      </c>
      <c r="U46" s="4">
        <v>0</v>
      </c>
      <c r="V46" s="4">
        <v>0</v>
      </c>
      <c r="W46" s="4">
        <v>18031.539000000001</v>
      </c>
      <c r="X46" s="4">
        <v>0</v>
      </c>
      <c r="Y46" s="4">
        <v>18031.539000000001</v>
      </c>
      <c r="Z46" s="4">
        <v>896.71019999999999</v>
      </c>
      <c r="AA46" s="4">
        <v>3.7694999999999999</v>
      </c>
      <c r="AB46" s="4">
        <v>892.94069999999999</v>
      </c>
      <c r="AC46" s="4">
        <v>5530.3427000000001</v>
      </c>
      <c r="AD46" s="4">
        <v>11192.857873409899</v>
      </c>
      <c r="AE46" s="4">
        <v>7662.6161997750896</v>
      </c>
      <c r="AF46" s="4">
        <v>3530.2416736348</v>
      </c>
      <c r="AG46" s="4">
        <v>1002.47227648325</v>
      </c>
      <c r="AH46" s="4">
        <v>314.48446010312603</v>
      </c>
      <c r="AI46" s="4">
        <v>687.98781638012304</v>
      </c>
    </row>
    <row r="47" spans="1:35" x14ac:dyDescent="0.2">
      <c r="A47" s="3">
        <v>41518</v>
      </c>
      <c r="B47" s="4">
        <v>36614.6774</v>
      </c>
      <c r="C47" s="4">
        <v>7914.5441000000001</v>
      </c>
      <c r="D47" s="4">
        <v>5243.2613000000001</v>
      </c>
      <c r="E47" s="4">
        <v>2671.2828</v>
      </c>
      <c r="F47" s="5">
        <v>12870.4674</v>
      </c>
      <c r="G47" s="4">
        <v>3291.6907999999999</v>
      </c>
      <c r="H47" s="4">
        <v>9578.7765999999992</v>
      </c>
      <c r="I47" s="5">
        <v>2886.7923000000001</v>
      </c>
      <c r="J47" s="4">
        <v>542.1463</v>
      </c>
      <c r="K47" s="4">
        <v>2344.6459</v>
      </c>
      <c r="L47" s="4">
        <v>6891.0536000000002</v>
      </c>
      <c r="M47" s="4">
        <v>5309.5542999999998</v>
      </c>
      <c r="N47" s="4">
        <v>1581.4992999999999</v>
      </c>
      <c r="O47" s="4">
        <v>0</v>
      </c>
      <c r="P47" s="4">
        <v>17.711400000000001</v>
      </c>
      <c r="Q47" s="4">
        <v>17.711400000000001</v>
      </c>
      <c r="R47" s="4">
        <v>6034.1085000000003</v>
      </c>
      <c r="S47" s="4">
        <v>11125.6962</v>
      </c>
      <c r="T47" s="4">
        <v>25488.981199999998</v>
      </c>
      <c r="U47" s="4">
        <v>0</v>
      </c>
      <c r="V47" s="4">
        <v>0</v>
      </c>
      <c r="W47" s="4">
        <v>18954.345700000002</v>
      </c>
      <c r="X47" s="4">
        <v>0</v>
      </c>
      <c r="Y47" s="4">
        <v>18954.345700000002</v>
      </c>
      <c r="Z47" s="4">
        <v>900.22709999999995</v>
      </c>
      <c r="AA47" s="4">
        <v>3.6482999999999999</v>
      </c>
      <c r="AB47" s="4">
        <v>896.5788</v>
      </c>
      <c r="AC47" s="4">
        <v>5634.4083000000001</v>
      </c>
      <c r="AD47" s="4">
        <v>11484.1238770945</v>
      </c>
      <c r="AE47" s="4">
        <v>7825.9548596798504</v>
      </c>
      <c r="AF47" s="4">
        <v>3658.1690174146502</v>
      </c>
      <c r="AG47" s="4">
        <v>47.945608583785699</v>
      </c>
      <c r="AH47" s="4">
        <v>23.3277852044423</v>
      </c>
      <c r="AI47" s="4">
        <v>24.617823379343498</v>
      </c>
    </row>
    <row r="48" spans="1:35" x14ac:dyDescent="0.2">
      <c r="A48" s="3">
        <v>41609</v>
      </c>
      <c r="B48" s="4">
        <v>36395.746200000001</v>
      </c>
      <c r="C48" s="4">
        <v>8008.0286999999998</v>
      </c>
      <c r="D48" s="4">
        <v>5694.9528</v>
      </c>
      <c r="E48" s="4">
        <v>2313.0758999999998</v>
      </c>
      <c r="F48" s="5">
        <v>12147.7808</v>
      </c>
      <c r="G48" s="4">
        <v>2279.4344999999998</v>
      </c>
      <c r="H48" s="4">
        <v>9868.3464000000004</v>
      </c>
      <c r="I48" s="5">
        <v>2739.7033999999999</v>
      </c>
      <c r="J48" s="4">
        <v>243.8312</v>
      </c>
      <c r="K48" s="4">
        <v>2495.8721</v>
      </c>
      <c r="L48" s="4">
        <v>7767.0082000000002</v>
      </c>
      <c r="M48" s="4">
        <v>6183.4655000000002</v>
      </c>
      <c r="N48" s="4">
        <v>1583.5427999999999</v>
      </c>
      <c r="O48" s="4">
        <v>0</v>
      </c>
      <c r="P48" s="4">
        <v>18.118500000000001</v>
      </c>
      <c r="Q48" s="4">
        <v>18.118500000000001</v>
      </c>
      <c r="R48" s="4">
        <v>5715.1064999999999</v>
      </c>
      <c r="S48" s="4">
        <v>10263.4151</v>
      </c>
      <c r="T48" s="4">
        <v>26132.331099999999</v>
      </c>
      <c r="U48" s="4">
        <v>0</v>
      </c>
      <c r="V48" s="4">
        <v>0</v>
      </c>
      <c r="W48" s="4">
        <v>19507.042000000001</v>
      </c>
      <c r="X48" s="4">
        <v>0</v>
      </c>
      <c r="Y48" s="4">
        <v>19507.042000000001</v>
      </c>
      <c r="Z48" s="4">
        <v>922.55089999999996</v>
      </c>
      <c r="AA48" s="4">
        <v>4.5736999999999997</v>
      </c>
      <c r="AB48" s="4">
        <v>917.97720000000004</v>
      </c>
      <c r="AC48" s="4">
        <v>5702.7381999999998</v>
      </c>
      <c r="AD48" s="4">
        <v>11917.7609192528</v>
      </c>
      <c r="AE48" s="4">
        <v>8075.9213458678296</v>
      </c>
      <c r="AF48" s="4">
        <v>3841.8395733849702</v>
      </c>
      <c r="AG48" s="4">
        <v>49.623485566583597</v>
      </c>
      <c r="AH48" s="4">
        <v>25.670480999849399</v>
      </c>
      <c r="AI48" s="4">
        <v>23.953004566734201</v>
      </c>
    </row>
    <row r="49" spans="1:35" x14ac:dyDescent="0.2">
      <c r="A49" s="3">
        <v>41699</v>
      </c>
      <c r="B49" s="4">
        <v>39271.844799999999</v>
      </c>
      <c r="C49" s="4">
        <v>7286.6050999999998</v>
      </c>
      <c r="D49" s="4">
        <v>4856.1234000000004</v>
      </c>
      <c r="E49" s="4">
        <v>2430.4816999999998</v>
      </c>
      <c r="F49" s="5">
        <v>13662.919</v>
      </c>
      <c r="G49" s="4">
        <v>3071.3692000000001</v>
      </c>
      <c r="H49" s="4">
        <v>10591.549800000001</v>
      </c>
      <c r="I49" s="5">
        <v>3079.0951</v>
      </c>
      <c r="J49" s="4">
        <v>366.3777</v>
      </c>
      <c r="K49" s="4">
        <v>2712.7172999999998</v>
      </c>
      <c r="L49" s="4">
        <v>9034.2571000000007</v>
      </c>
      <c r="M49" s="4">
        <v>7207.0447999999997</v>
      </c>
      <c r="N49" s="4">
        <v>1827.2121999999999</v>
      </c>
      <c r="O49" s="4">
        <v>0</v>
      </c>
      <c r="P49" s="4">
        <v>18.8734</v>
      </c>
      <c r="Q49" s="4">
        <v>18.8734</v>
      </c>
      <c r="R49" s="4">
        <v>6190.0951999999997</v>
      </c>
      <c r="S49" s="4">
        <v>12431.558300000001</v>
      </c>
      <c r="T49" s="4">
        <v>26840.286499999998</v>
      </c>
      <c r="U49" s="4">
        <v>0</v>
      </c>
      <c r="V49" s="4">
        <v>0</v>
      </c>
      <c r="W49" s="4">
        <v>19910.302</v>
      </c>
      <c r="X49" s="4">
        <v>0</v>
      </c>
      <c r="Y49" s="4">
        <v>19910.302</v>
      </c>
      <c r="Z49" s="4">
        <v>932.80719999999997</v>
      </c>
      <c r="AA49" s="4">
        <v>4.6266999999999996</v>
      </c>
      <c r="AB49" s="4">
        <v>928.18039999999996</v>
      </c>
      <c r="AC49" s="4">
        <v>5997.1773000000003</v>
      </c>
      <c r="AD49" s="4">
        <v>12789.823303613</v>
      </c>
      <c r="AE49" s="4">
        <v>8656.7701868992299</v>
      </c>
      <c r="AF49" s="4">
        <v>4133.0531167137897</v>
      </c>
      <c r="AG49" s="4">
        <v>52.623214277294103</v>
      </c>
      <c r="AH49" s="4">
        <v>27.455735204389999</v>
      </c>
      <c r="AI49" s="4">
        <v>25.167479072904101</v>
      </c>
    </row>
    <row r="50" spans="1:35" x14ac:dyDescent="0.2">
      <c r="A50" s="3">
        <v>41791</v>
      </c>
      <c r="B50" s="4">
        <v>40292.115400000002</v>
      </c>
      <c r="C50" s="4">
        <v>7945.3221000000003</v>
      </c>
      <c r="D50" s="4">
        <v>5363.7218999999996</v>
      </c>
      <c r="E50" s="4">
        <v>2581.6003000000001</v>
      </c>
      <c r="F50" s="5">
        <v>13953.407499999999</v>
      </c>
      <c r="G50" s="4">
        <v>3061.3719999999998</v>
      </c>
      <c r="H50" s="4">
        <v>10892.0355</v>
      </c>
      <c r="I50" s="5">
        <v>3000.2292000000002</v>
      </c>
      <c r="J50" s="4">
        <v>330.50869999999998</v>
      </c>
      <c r="K50" s="4">
        <v>2669.7204999999999</v>
      </c>
      <c r="L50" s="4">
        <v>8911.7973000000002</v>
      </c>
      <c r="M50" s="4">
        <v>7202.5843000000004</v>
      </c>
      <c r="N50" s="4">
        <v>1709.213</v>
      </c>
      <c r="O50" s="4">
        <v>0</v>
      </c>
      <c r="P50" s="4">
        <v>19.943300000000001</v>
      </c>
      <c r="Q50" s="4">
        <v>19.943300000000001</v>
      </c>
      <c r="R50" s="4">
        <v>6461.4159</v>
      </c>
      <c r="S50" s="4">
        <v>11687.977800000001</v>
      </c>
      <c r="T50" s="4">
        <v>28604.137500000001</v>
      </c>
      <c r="U50" s="4">
        <v>0</v>
      </c>
      <c r="V50" s="4">
        <v>0</v>
      </c>
      <c r="W50" s="4">
        <v>21806.935399999998</v>
      </c>
      <c r="X50" s="4">
        <v>0</v>
      </c>
      <c r="Y50" s="4">
        <v>21806.935399999998</v>
      </c>
      <c r="Z50" s="4">
        <v>955.04840000000002</v>
      </c>
      <c r="AA50" s="4">
        <v>5.1367000000000003</v>
      </c>
      <c r="AB50" s="4">
        <v>949.91179999999997</v>
      </c>
      <c r="AC50" s="4">
        <v>5842.1536999999998</v>
      </c>
      <c r="AD50" s="4">
        <v>13076.6512772768</v>
      </c>
      <c r="AE50" s="4">
        <v>8542.0206053759393</v>
      </c>
      <c r="AF50" s="4">
        <v>4534.6306719008999</v>
      </c>
      <c r="AG50" s="4">
        <v>57.344491623885197</v>
      </c>
      <c r="AH50" s="4">
        <v>-247.53880534389</v>
      </c>
      <c r="AI50" s="4">
        <v>304.88329696777498</v>
      </c>
    </row>
    <row r="51" spans="1:35" x14ac:dyDescent="0.2">
      <c r="A51" s="3">
        <v>41883</v>
      </c>
      <c r="B51" s="4">
        <v>42907.578800000003</v>
      </c>
      <c r="C51" s="4">
        <v>7925.6544999999996</v>
      </c>
      <c r="D51" s="4">
        <v>4876.8760000000002</v>
      </c>
      <c r="E51" s="4">
        <v>3048.7784999999999</v>
      </c>
      <c r="F51" s="5">
        <v>14505.545099999999</v>
      </c>
      <c r="G51" s="4">
        <v>3127.1813999999999</v>
      </c>
      <c r="H51" s="4">
        <v>11378.3637</v>
      </c>
      <c r="I51" s="5">
        <v>2938.1387</v>
      </c>
      <c r="J51" s="4">
        <v>377.52359999999999</v>
      </c>
      <c r="K51" s="4">
        <v>2560.6151</v>
      </c>
      <c r="L51" s="4">
        <v>10706.1443</v>
      </c>
      <c r="M51" s="4">
        <v>8810.348</v>
      </c>
      <c r="N51" s="4">
        <v>1895.7963</v>
      </c>
      <c r="O51" s="4">
        <v>0</v>
      </c>
      <c r="P51" s="4">
        <v>20.464300000000001</v>
      </c>
      <c r="Q51" s="4">
        <v>20.464300000000001</v>
      </c>
      <c r="R51" s="4">
        <v>6811.6318000000001</v>
      </c>
      <c r="S51" s="4">
        <v>13327.3541</v>
      </c>
      <c r="T51" s="4">
        <v>29580.224699999999</v>
      </c>
      <c r="U51" s="4">
        <v>0</v>
      </c>
      <c r="V51" s="4">
        <v>0</v>
      </c>
      <c r="W51" s="4">
        <v>22637.7147</v>
      </c>
      <c r="X51" s="4">
        <v>0</v>
      </c>
      <c r="Y51" s="4">
        <v>22637.7147</v>
      </c>
      <c r="Z51" s="4">
        <v>986.70230000000004</v>
      </c>
      <c r="AA51" s="4">
        <v>3.8050999999999999</v>
      </c>
      <c r="AB51" s="4">
        <v>982.8972</v>
      </c>
      <c r="AC51" s="4">
        <v>5955.8077000000003</v>
      </c>
      <c r="AD51" s="4">
        <v>13796.411008106699</v>
      </c>
      <c r="AE51" s="4">
        <v>8987.3137976786293</v>
      </c>
      <c r="AF51" s="4">
        <v>4809.09721042811</v>
      </c>
      <c r="AG51" s="4">
        <v>52.431586812839797</v>
      </c>
      <c r="AH51" s="4">
        <v>25.3710181677049</v>
      </c>
      <c r="AI51" s="4">
        <v>27.0605686451349</v>
      </c>
    </row>
    <row r="52" spans="1:35" x14ac:dyDescent="0.2">
      <c r="A52" s="3">
        <v>41974</v>
      </c>
      <c r="B52" s="4">
        <v>39627.9228</v>
      </c>
      <c r="C52" s="4">
        <v>8876.9814000000006</v>
      </c>
      <c r="D52" s="4">
        <v>5028.1538</v>
      </c>
      <c r="E52" s="4">
        <v>3848.8276000000001</v>
      </c>
      <c r="F52" s="5">
        <v>13731.4532</v>
      </c>
      <c r="G52" s="4">
        <v>2100.7275</v>
      </c>
      <c r="H52" s="4">
        <v>11630.7258</v>
      </c>
      <c r="I52" s="5">
        <v>3018.0436</v>
      </c>
      <c r="J52" s="4">
        <v>194.45269999999999</v>
      </c>
      <c r="K52" s="4">
        <v>2823.5909000000001</v>
      </c>
      <c r="L52" s="4">
        <v>7242.1496999999999</v>
      </c>
      <c r="M52" s="4">
        <v>5480.3675000000003</v>
      </c>
      <c r="N52" s="4">
        <v>1761.7820999999999</v>
      </c>
      <c r="O52" s="4">
        <v>0</v>
      </c>
      <c r="P52" s="4">
        <v>21.136600000000001</v>
      </c>
      <c r="Q52" s="4">
        <v>21.136600000000001</v>
      </c>
      <c r="R52" s="4">
        <v>6738.1583000000001</v>
      </c>
      <c r="S52" s="4">
        <v>6523.2235000000001</v>
      </c>
      <c r="T52" s="4">
        <v>33104.699200000003</v>
      </c>
      <c r="U52" s="4">
        <v>0</v>
      </c>
      <c r="V52" s="4">
        <v>0</v>
      </c>
      <c r="W52" s="4">
        <v>25828.391</v>
      </c>
      <c r="X52" s="4">
        <v>0</v>
      </c>
      <c r="Y52" s="4">
        <v>25828.391</v>
      </c>
      <c r="Z52" s="4">
        <v>1004.1787</v>
      </c>
      <c r="AA52" s="4">
        <v>2.5611999999999999</v>
      </c>
      <c r="AB52" s="4">
        <v>1001.6174999999999</v>
      </c>
      <c r="AC52" s="4">
        <v>6272.1295</v>
      </c>
      <c r="AD52" s="4">
        <v>13746.5402229258</v>
      </c>
      <c r="AE52" s="4">
        <v>8921.6960794770293</v>
      </c>
      <c r="AF52" s="4">
        <v>4824.8441434488004</v>
      </c>
      <c r="AG52" s="4">
        <v>53.008062744310998</v>
      </c>
      <c r="AH52" s="4">
        <v>25.1687230176253</v>
      </c>
      <c r="AI52" s="4">
        <v>27.839339726685701</v>
      </c>
    </row>
    <row r="53" spans="1:35" x14ac:dyDescent="0.2">
      <c r="A53" s="3">
        <v>42064</v>
      </c>
      <c r="B53" s="4">
        <v>40184.828800000003</v>
      </c>
      <c r="C53" s="4">
        <v>7888.2523000000001</v>
      </c>
      <c r="D53" s="4">
        <v>5028.3135000000002</v>
      </c>
      <c r="E53" s="4">
        <v>2859.9387999999999</v>
      </c>
      <c r="F53" s="5">
        <v>14089.6108</v>
      </c>
      <c r="G53" s="4">
        <v>2626.1066999999998</v>
      </c>
      <c r="H53" s="4">
        <v>11463.5041</v>
      </c>
      <c r="I53" s="5">
        <v>3301.4303</v>
      </c>
      <c r="J53" s="4">
        <v>270.7577</v>
      </c>
      <c r="K53" s="4">
        <v>3030.6725999999999</v>
      </c>
      <c r="L53" s="4">
        <v>7146.6810999999998</v>
      </c>
      <c r="M53" s="4">
        <v>5364.59</v>
      </c>
      <c r="N53" s="4">
        <v>1782.0911000000001</v>
      </c>
      <c r="O53" s="4">
        <v>0</v>
      </c>
      <c r="P53" s="4">
        <v>21.293199999999999</v>
      </c>
      <c r="Q53" s="4">
        <v>21.293199999999999</v>
      </c>
      <c r="R53" s="4">
        <v>7737.5610999999999</v>
      </c>
      <c r="S53" s="4">
        <v>7324.8580000000002</v>
      </c>
      <c r="T53" s="4">
        <v>32859.970800000003</v>
      </c>
      <c r="U53" s="4">
        <v>0</v>
      </c>
      <c r="V53" s="4">
        <v>0</v>
      </c>
      <c r="W53" s="4">
        <v>25006.448</v>
      </c>
      <c r="X53" s="4">
        <v>0</v>
      </c>
      <c r="Y53" s="4">
        <v>25006.448</v>
      </c>
      <c r="Z53" s="4">
        <v>992.39970000000005</v>
      </c>
      <c r="AA53" s="4">
        <v>2.1993999999999998</v>
      </c>
      <c r="AB53" s="4">
        <v>990.20029999999997</v>
      </c>
      <c r="AC53" s="4">
        <v>6861.1230999999998</v>
      </c>
      <c r="AD53" s="4">
        <v>14000.7799116855</v>
      </c>
      <c r="AE53" s="4">
        <v>9081.7140821285102</v>
      </c>
      <c r="AF53" s="4">
        <v>4919.0658295569601</v>
      </c>
      <c r="AG53" s="4">
        <v>54.897853161670902</v>
      </c>
      <c r="AH53" s="4">
        <v>26.1675156066478</v>
      </c>
      <c r="AI53" s="4">
        <v>28.730337555023102</v>
      </c>
    </row>
    <row r="54" spans="1:35" x14ac:dyDescent="0.2">
      <c r="A54" s="3">
        <v>42156</v>
      </c>
      <c r="B54" s="4">
        <v>42787.813499999997</v>
      </c>
      <c r="C54" s="4">
        <v>8313.5684999999994</v>
      </c>
      <c r="D54" s="4">
        <v>5213.8236999999999</v>
      </c>
      <c r="E54" s="4">
        <v>3099.7447999999999</v>
      </c>
      <c r="F54" s="5">
        <v>15482.0252</v>
      </c>
      <c r="G54" s="4">
        <v>3218.7091999999998</v>
      </c>
      <c r="H54" s="4">
        <v>12263.316000000001</v>
      </c>
      <c r="I54" s="5">
        <v>3594.2898</v>
      </c>
      <c r="J54" s="4">
        <v>642.38530000000003</v>
      </c>
      <c r="K54" s="4">
        <v>2951.9043999999999</v>
      </c>
      <c r="L54" s="4">
        <v>7371.9110000000001</v>
      </c>
      <c r="M54" s="4">
        <v>5478.8014000000003</v>
      </c>
      <c r="N54" s="4">
        <v>1893.1096</v>
      </c>
      <c r="O54" s="4">
        <v>0</v>
      </c>
      <c r="P54" s="4">
        <v>22.227699999999999</v>
      </c>
      <c r="Q54" s="4">
        <v>22.227699999999999</v>
      </c>
      <c r="R54" s="4">
        <v>8003.7912999999999</v>
      </c>
      <c r="S54" s="4">
        <v>7569.1009000000004</v>
      </c>
      <c r="T54" s="4">
        <v>35218.712599999999</v>
      </c>
      <c r="U54" s="4">
        <v>0</v>
      </c>
      <c r="V54" s="4">
        <v>0</v>
      </c>
      <c r="W54" s="4">
        <v>27613.921699999999</v>
      </c>
      <c r="X54" s="4">
        <v>0</v>
      </c>
      <c r="Y54" s="4">
        <v>27613.921699999999</v>
      </c>
      <c r="Z54" s="4">
        <v>997.20630000000006</v>
      </c>
      <c r="AA54" s="4">
        <v>1.8027</v>
      </c>
      <c r="AB54" s="4">
        <v>995.40359999999998</v>
      </c>
      <c r="AC54" s="4">
        <v>6607.5846000000001</v>
      </c>
      <c r="AD54" s="4">
        <v>14107.6277554263</v>
      </c>
      <c r="AE54" s="4">
        <v>8882.8937325630905</v>
      </c>
      <c r="AF54" s="4">
        <v>5224.7340228631701</v>
      </c>
      <c r="AG54" s="4">
        <v>61.984608598345098</v>
      </c>
      <c r="AH54" s="4">
        <v>-256.71097267604699</v>
      </c>
      <c r="AI54" s="4">
        <v>318.695581274392</v>
      </c>
    </row>
    <row r="55" spans="1:35" x14ac:dyDescent="0.2">
      <c r="A55" s="3">
        <v>42248</v>
      </c>
      <c r="B55" s="4">
        <v>47512.766600000003</v>
      </c>
      <c r="C55" s="4">
        <v>8204.5110000000004</v>
      </c>
      <c r="D55" s="4">
        <v>5203.9114</v>
      </c>
      <c r="E55" s="4">
        <v>3000.5996</v>
      </c>
      <c r="F55" s="5">
        <v>17691.186699999998</v>
      </c>
      <c r="G55" s="4">
        <v>4030.1641</v>
      </c>
      <c r="H55" s="4">
        <v>13661.0226</v>
      </c>
      <c r="I55" s="5">
        <v>3485.8159000000001</v>
      </c>
      <c r="J55" s="4">
        <v>453.56020000000001</v>
      </c>
      <c r="K55" s="4">
        <v>3032.2557000000002</v>
      </c>
      <c r="L55" s="4">
        <v>10013.145500000001</v>
      </c>
      <c r="M55" s="4">
        <v>8002.9237999999996</v>
      </c>
      <c r="N55" s="4">
        <v>2010.2217000000001</v>
      </c>
      <c r="O55" s="4">
        <v>0</v>
      </c>
      <c r="P55" s="4">
        <v>23.1325</v>
      </c>
      <c r="Q55" s="4">
        <v>23.1325</v>
      </c>
      <c r="R55" s="4">
        <v>8094.9750000000004</v>
      </c>
      <c r="S55" s="4">
        <v>10484.329900000001</v>
      </c>
      <c r="T55" s="4">
        <v>37028.436800000003</v>
      </c>
      <c r="U55" s="4">
        <v>0</v>
      </c>
      <c r="V55" s="4">
        <v>0</v>
      </c>
      <c r="W55" s="4">
        <v>29314.1636</v>
      </c>
      <c r="X55" s="4">
        <v>0</v>
      </c>
      <c r="Y55" s="4">
        <v>29314.1636</v>
      </c>
      <c r="Z55" s="4">
        <v>1061.0598</v>
      </c>
      <c r="AA55" s="4">
        <v>1.2690999999999999</v>
      </c>
      <c r="AB55" s="4">
        <v>1059.7907</v>
      </c>
      <c r="AC55" s="4">
        <v>6653.2133000000003</v>
      </c>
      <c r="AD55" s="4">
        <v>15670.0291123352</v>
      </c>
      <c r="AE55" s="4">
        <v>9932.0312763351794</v>
      </c>
      <c r="AF55" s="4">
        <v>5737.9978359999996</v>
      </c>
      <c r="AG55" s="4">
        <v>58.730983793076199</v>
      </c>
      <c r="AH55" s="4">
        <v>25.878903014951199</v>
      </c>
      <c r="AI55" s="4">
        <v>32.852080778125</v>
      </c>
    </row>
    <row r="56" spans="1:35" x14ac:dyDescent="0.2">
      <c r="A56" s="3">
        <v>42339</v>
      </c>
      <c r="B56" s="4">
        <v>46608.886400000003</v>
      </c>
      <c r="C56" s="4">
        <v>9300.2008000000005</v>
      </c>
      <c r="D56" s="4">
        <v>5871.9202999999998</v>
      </c>
      <c r="E56" s="4">
        <v>3428.2804999999998</v>
      </c>
      <c r="F56" s="5">
        <v>15037.8274</v>
      </c>
      <c r="G56" s="4">
        <v>2492.0547000000001</v>
      </c>
      <c r="H56" s="4">
        <v>12545.772800000001</v>
      </c>
      <c r="I56" s="5">
        <v>3773.7213000000002</v>
      </c>
      <c r="J56" s="4">
        <v>403.82040000000001</v>
      </c>
      <c r="K56" s="4">
        <v>3369.9009000000001</v>
      </c>
      <c r="L56" s="4">
        <v>9934.9069999999992</v>
      </c>
      <c r="M56" s="4">
        <v>8200.6479999999992</v>
      </c>
      <c r="N56" s="4">
        <v>1734.259</v>
      </c>
      <c r="O56" s="4">
        <v>0</v>
      </c>
      <c r="P56" s="4">
        <v>23.030100000000001</v>
      </c>
      <c r="Q56" s="4">
        <v>23.030100000000001</v>
      </c>
      <c r="R56" s="4">
        <v>8539.1996999999992</v>
      </c>
      <c r="S56" s="4">
        <v>8074.8347999999996</v>
      </c>
      <c r="T56" s="4">
        <v>38534.051599999999</v>
      </c>
      <c r="U56" s="4">
        <v>0</v>
      </c>
      <c r="V56" s="4">
        <v>0</v>
      </c>
      <c r="W56" s="4">
        <v>30455.809399999998</v>
      </c>
      <c r="X56" s="4">
        <v>0</v>
      </c>
      <c r="Y56" s="4">
        <v>30455.809399999998</v>
      </c>
      <c r="Z56" s="4">
        <v>1048.7543000000001</v>
      </c>
      <c r="AA56" s="4">
        <v>0.78700000000000003</v>
      </c>
      <c r="AB56" s="4">
        <v>1047.9672</v>
      </c>
      <c r="AC56" s="4">
        <v>7029.4880000000003</v>
      </c>
      <c r="AD56" s="4">
        <v>15616.9960885977</v>
      </c>
      <c r="AE56" s="4">
        <v>9878.9054671977101</v>
      </c>
      <c r="AF56" s="4">
        <v>5738.0906213999997</v>
      </c>
      <c r="AG56" s="4">
        <v>60.187976257170497</v>
      </c>
      <c r="AH56" s="4">
        <v>26.9118502386854</v>
      </c>
      <c r="AI56" s="4">
        <v>33.276126018485101</v>
      </c>
    </row>
    <row r="57" spans="1:35" x14ac:dyDescent="0.2">
      <c r="A57" s="3">
        <v>42430</v>
      </c>
      <c r="B57" s="4">
        <v>48104.722099999999</v>
      </c>
      <c r="C57" s="4">
        <v>8915.6190999999999</v>
      </c>
      <c r="D57" s="4">
        <v>5636.6911</v>
      </c>
      <c r="E57" s="4">
        <v>3278.9281000000001</v>
      </c>
      <c r="F57" s="5">
        <v>16900.454099999999</v>
      </c>
      <c r="G57" s="4">
        <v>3456.1511</v>
      </c>
      <c r="H57" s="4">
        <v>13444.302900000001</v>
      </c>
      <c r="I57" s="5">
        <v>4128.6436000000003</v>
      </c>
      <c r="J57" s="4">
        <v>526.77300000000002</v>
      </c>
      <c r="K57" s="4">
        <v>3601.8706000000002</v>
      </c>
      <c r="L57" s="4">
        <v>8879.1404999999995</v>
      </c>
      <c r="M57" s="4">
        <v>7070.5478000000003</v>
      </c>
      <c r="N57" s="4">
        <v>1808.5925999999999</v>
      </c>
      <c r="O57" s="4">
        <v>0</v>
      </c>
      <c r="P57" s="4">
        <v>22.427800000000001</v>
      </c>
      <c r="Q57" s="4">
        <v>22.427800000000001</v>
      </c>
      <c r="R57" s="4">
        <v>9258.4370999999992</v>
      </c>
      <c r="S57" s="4">
        <v>6846.2107999999998</v>
      </c>
      <c r="T57" s="4">
        <v>41258.511299999998</v>
      </c>
      <c r="U57" s="4">
        <v>0</v>
      </c>
      <c r="V57" s="4">
        <v>0</v>
      </c>
      <c r="W57" s="4">
        <v>32528.229599999999</v>
      </c>
      <c r="X57" s="4">
        <v>0</v>
      </c>
      <c r="Y57" s="4">
        <v>32528.229599999999</v>
      </c>
      <c r="Z57" s="4">
        <v>1095.3257000000001</v>
      </c>
      <c r="AA57" s="4">
        <v>0.77180000000000004</v>
      </c>
      <c r="AB57" s="4">
        <v>1094.5539000000001</v>
      </c>
      <c r="AC57" s="4">
        <v>7634.9558999999999</v>
      </c>
      <c r="AD57" s="4">
        <v>15680.5873279852</v>
      </c>
      <c r="AE57" s="4">
        <v>9922.3803355422897</v>
      </c>
      <c r="AF57" s="4">
        <v>5758.2069924428997</v>
      </c>
      <c r="AG57" s="4">
        <v>65.772320936240106</v>
      </c>
      <c r="AH57" s="4">
        <v>29.912458680198899</v>
      </c>
      <c r="AI57" s="4">
        <v>35.859862256041197</v>
      </c>
    </row>
    <row r="58" spans="1:35" x14ac:dyDescent="0.2">
      <c r="A58" s="3">
        <v>42522</v>
      </c>
      <c r="B58" s="4">
        <v>49301.465199999999</v>
      </c>
      <c r="C58" s="4">
        <v>9903.9557000000004</v>
      </c>
      <c r="D58" s="4">
        <v>6275.4897000000001</v>
      </c>
      <c r="E58" s="4">
        <v>3628.4659999999999</v>
      </c>
      <c r="F58" s="5">
        <v>17461.404200000001</v>
      </c>
      <c r="G58" s="4">
        <v>3992.3029000000001</v>
      </c>
      <c r="H58" s="4">
        <v>13469.1013</v>
      </c>
      <c r="I58" s="5">
        <v>4048.2846</v>
      </c>
      <c r="J58" s="4">
        <v>514.2423</v>
      </c>
      <c r="K58" s="4">
        <v>3534.0423000000001</v>
      </c>
      <c r="L58" s="4">
        <v>8547.7451999999994</v>
      </c>
      <c r="M58" s="4">
        <v>6261.7262000000001</v>
      </c>
      <c r="N58" s="4">
        <v>2286.0189999999998</v>
      </c>
      <c r="O58" s="4">
        <v>0</v>
      </c>
      <c r="P58" s="4">
        <v>22.9071</v>
      </c>
      <c r="Q58" s="4">
        <v>22.9071</v>
      </c>
      <c r="R58" s="4">
        <v>9317.1682999999994</v>
      </c>
      <c r="S58" s="4">
        <v>4925.4444000000003</v>
      </c>
      <c r="T58" s="4">
        <v>44376.020799999998</v>
      </c>
      <c r="U58" s="4">
        <v>0</v>
      </c>
      <c r="V58" s="4">
        <v>0</v>
      </c>
      <c r="W58" s="4">
        <v>35170.8773</v>
      </c>
      <c r="X58" s="4">
        <v>0</v>
      </c>
      <c r="Y58" s="4">
        <v>35170.8773</v>
      </c>
      <c r="Z58" s="4">
        <v>1154.3685</v>
      </c>
      <c r="AA58" s="4">
        <v>0.8821</v>
      </c>
      <c r="AB58" s="4">
        <v>1153.4864</v>
      </c>
      <c r="AC58" s="4">
        <v>8050.7749999999996</v>
      </c>
      <c r="AD58" s="4">
        <v>15755.114390942501</v>
      </c>
      <c r="AE58" s="4">
        <v>9660.0443366323107</v>
      </c>
      <c r="AF58" s="4">
        <v>6095.0700543102303</v>
      </c>
      <c r="AG58" s="4">
        <v>63.410276997179899</v>
      </c>
      <c r="AH58" s="4">
        <v>-284.07707733357</v>
      </c>
      <c r="AI58" s="4">
        <v>347.48735433075001</v>
      </c>
    </row>
    <row r="59" spans="1:35" x14ac:dyDescent="0.2">
      <c r="A59" s="3">
        <v>42614</v>
      </c>
      <c r="B59" s="4">
        <v>49471.302300000003</v>
      </c>
      <c r="C59" s="4">
        <v>9682.5787</v>
      </c>
      <c r="D59" s="4">
        <v>5971.0635000000002</v>
      </c>
      <c r="E59" s="4">
        <v>3711.5151999999998</v>
      </c>
      <c r="F59" s="5">
        <v>17625.322</v>
      </c>
      <c r="G59" s="4">
        <v>4011.1864999999998</v>
      </c>
      <c r="H59" s="4">
        <v>13614.1355</v>
      </c>
      <c r="I59" s="5">
        <v>3928.261</v>
      </c>
      <c r="J59" s="4">
        <v>440.8322</v>
      </c>
      <c r="K59" s="4">
        <v>3487.4288000000001</v>
      </c>
      <c r="L59" s="4">
        <v>8489.8636000000006</v>
      </c>
      <c r="M59" s="4">
        <v>6103.1686</v>
      </c>
      <c r="N59" s="4">
        <v>2386.6950000000002</v>
      </c>
      <c r="O59" s="4">
        <v>0</v>
      </c>
      <c r="P59" s="4">
        <v>23.095199999999998</v>
      </c>
      <c r="Q59" s="4">
        <v>23.095199999999998</v>
      </c>
      <c r="R59" s="4">
        <v>9722.1818999999996</v>
      </c>
      <c r="S59" s="4">
        <v>1632.1248000000001</v>
      </c>
      <c r="T59" s="4">
        <v>47839.177499999998</v>
      </c>
      <c r="U59" s="4">
        <v>0</v>
      </c>
      <c r="V59" s="4">
        <v>0</v>
      </c>
      <c r="W59" s="4">
        <v>38030.402000000002</v>
      </c>
      <c r="X59" s="4">
        <v>0</v>
      </c>
      <c r="Y59" s="4">
        <v>38030.402000000002</v>
      </c>
      <c r="Z59" s="4">
        <v>1242.6514999999999</v>
      </c>
      <c r="AA59" s="4">
        <v>0.94710000000000005</v>
      </c>
      <c r="AB59" s="4">
        <v>1241.7044000000001</v>
      </c>
      <c r="AC59" s="4">
        <v>8566.1241000000009</v>
      </c>
      <c r="AD59" s="4">
        <v>15899.8262792851</v>
      </c>
      <c r="AE59" s="4">
        <v>9702.2069939291596</v>
      </c>
      <c r="AF59" s="4">
        <v>6197.6192853559896</v>
      </c>
      <c r="AG59" s="4">
        <v>59.242712034610399</v>
      </c>
      <c r="AH59" s="4">
        <v>26.014387164936199</v>
      </c>
      <c r="AI59" s="4">
        <v>33.228324869674204</v>
      </c>
    </row>
    <row r="60" spans="1:35" x14ac:dyDescent="0.2">
      <c r="A60" s="3">
        <v>42705</v>
      </c>
      <c r="B60" s="4">
        <v>46584.384400000003</v>
      </c>
      <c r="C60" s="4">
        <v>9675.9727999999996</v>
      </c>
      <c r="D60" s="4">
        <v>6539.8119999999999</v>
      </c>
      <c r="E60" s="4">
        <v>3136.1608000000001</v>
      </c>
      <c r="F60" s="5">
        <v>14838.0447</v>
      </c>
      <c r="G60" s="4">
        <v>2035.1650999999999</v>
      </c>
      <c r="H60" s="4">
        <v>12802.8796</v>
      </c>
      <c r="I60" s="5">
        <v>4255.5826999999999</v>
      </c>
      <c r="J60" s="4">
        <v>469.83890000000002</v>
      </c>
      <c r="K60" s="4">
        <v>3785.7438000000002</v>
      </c>
      <c r="L60" s="4">
        <v>8345.6226999999999</v>
      </c>
      <c r="M60" s="4">
        <v>6359.8419000000004</v>
      </c>
      <c r="N60" s="4">
        <v>1985.7808</v>
      </c>
      <c r="O60" s="4">
        <v>0</v>
      </c>
      <c r="P60" s="4">
        <v>23.709</v>
      </c>
      <c r="Q60" s="4">
        <v>23.709</v>
      </c>
      <c r="R60" s="4">
        <v>9445.4526000000005</v>
      </c>
      <c r="S60" s="4">
        <v>-1327.6147000000001</v>
      </c>
      <c r="T60" s="4">
        <v>47911.999199999998</v>
      </c>
      <c r="U60" s="4">
        <v>0</v>
      </c>
      <c r="V60" s="4">
        <v>0</v>
      </c>
      <c r="W60" s="4">
        <v>38622.7094</v>
      </c>
      <c r="X60" s="4">
        <v>0</v>
      </c>
      <c r="Y60" s="4">
        <v>38622.7094</v>
      </c>
      <c r="Z60" s="4">
        <v>1285.0410999999999</v>
      </c>
      <c r="AA60" s="4">
        <v>1.0507</v>
      </c>
      <c r="AB60" s="4">
        <v>1283.9903999999999</v>
      </c>
      <c r="AC60" s="4">
        <v>8004.2485999999999</v>
      </c>
      <c r="AD60" s="4">
        <v>15103.530658956101</v>
      </c>
      <c r="AE60" s="4">
        <v>9189.9567580770399</v>
      </c>
      <c r="AF60" s="4">
        <v>5913.5739008790897</v>
      </c>
      <c r="AG60" s="4">
        <v>54.700782219705303</v>
      </c>
      <c r="AH60" s="4">
        <v>24.3276236828268</v>
      </c>
      <c r="AI60" s="4">
        <v>30.373158536878499</v>
      </c>
    </row>
    <row r="61" spans="1:35" x14ac:dyDescent="0.2">
      <c r="A61" s="3">
        <v>42795</v>
      </c>
      <c r="B61" s="4">
        <v>48235.195599999999</v>
      </c>
      <c r="C61" s="4">
        <v>9500.8814999999995</v>
      </c>
      <c r="D61" s="4">
        <v>6539.2659000000003</v>
      </c>
      <c r="E61" s="4">
        <v>2961.6156000000001</v>
      </c>
      <c r="F61" s="5">
        <v>15481.962299999999</v>
      </c>
      <c r="G61" s="4">
        <v>3006.9535000000001</v>
      </c>
      <c r="H61" s="4">
        <v>12475.0088</v>
      </c>
      <c r="I61" s="5">
        <v>4387.7601000000004</v>
      </c>
      <c r="J61" s="4">
        <v>384.62610000000001</v>
      </c>
      <c r="K61" s="4">
        <v>4003.134</v>
      </c>
      <c r="L61" s="4">
        <v>8622.7492999999995</v>
      </c>
      <c r="M61" s="4">
        <v>6418.8486000000003</v>
      </c>
      <c r="N61" s="4">
        <v>2203.9007999999999</v>
      </c>
      <c r="O61" s="4">
        <v>0</v>
      </c>
      <c r="P61" s="4">
        <v>24.0747</v>
      </c>
      <c r="Q61" s="4">
        <v>24.0747</v>
      </c>
      <c r="R61" s="4">
        <v>10217.7677</v>
      </c>
      <c r="S61" s="4">
        <v>42.9011</v>
      </c>
      <c r="T61" s="4">
        <v>48192.294500000004</v>
      </c>
      <c r="U61" s="4">
        <v>0</v>
      </c>
      <c r="V61" s="4">
        <v>0</v>
      </c>
      <c r="W61" s="4">
        <v>39463.117700000003</v>
      </c>
      <c r="X61" s="4">
        <v>0</v>
      </c>
      <c r="Y61" s="4">
        <v>39463.117700000003</v>
      </c>
      <c r="Z61" s="4">
        <v>1262.0931</v>
      </c>
      <c r="AA61" s="4">
        <v>1.0631999999999999</v>
      </c>
      <c r="AB61" s="4">
        <v>1261.0299</v>
      </c>
      <c r="AC61" s="4">
        <v>7467.0837000000001</v>
      </c>
      <c r="AD61" s="4">
        <v>15352.040400592399</v>
      </c>
      <c r="AE61" s="4">
        <v>9323.8318226028096</v>
      </c>
      <c r="AF61" s="4">
        <v>6028.2085779895897</v>
      </c>
      <c r="AG61" s="4">
        <v>56.586342672707502</v>
      </c>
      <c r="AH61" s="4">
        <v>22.889201155108701</v>
      </c>
      <c r="AI61" s="4">
        <v>33.697141517598801</v>
      </c>
    </row>
    <row r="62" spans="1:35" x14ac:dyDescent="0.2">
      <c r="A62" s="3">
        <v>42887</v>
      </c>
      <c r="B62" s="4">
        <v>52802.526299999998</v>
      </c>
      <c r="C62" s="4">
        <v>11191.222</v>
      </c>
      <c r="D62" s="4">
        <v>6383.2226000000001</v>
      </c>
      <c r="E62" s="4">
        <v>4807.9993999999997</v>
      </c>
      <c r="F62" s="5">
        <v>17085.550299999999</v>
      </c>
      <c r="G62" s="4">
        <v>3668.4513999999999</v>
      </c>
      <c r="H62" s="4">
        <v>13417.098900000001</v>
      </c>
      <c r="I62" s="5">
        <v>4702.0092000000004</v>
      </c>
      <c r="J62" s="4">
        <v>708.89189999999996</v>
      </c>
      <c r="K62" s="4">
        <v>3993.1172999999999</v>
      </c>
      <c r="L62" s="4">
        <v>9233.8660999999993</v>
      </c>
      <c r="M62" s="4">
        <v>6855.2451000000001</v>
      </c>
      <c r="N62" s="4">
        <v>2378.6208999999999</v>
      </c>
      <c r="O62" s="4">
        <v>0</v>
      </c>
      <c r="P62" s="4">
        <v>25.000299999999999</v>
      </c>
      <c r="Q62" s="4">
        <v>25.000299999999999</v>
      </c>
      <c r="R62" s="4">
        <v>10564.8784</v>
      </c>
      <c r="S62" s="4">
        <v>717.53930000000003</v>
      </c>
      <c r="T62" s="4">
        <v>52084.987000000001</v>
      </c>
      <c r="U62" s="4">
        <v>0</v>
      </c>
      <c r="V62" s="4">
        <v>0</v>
      </c>
      <c r="W62" s="4">
        <v>43889.352599999998</v>
      </c>
      <c r="X62" s="4">
        <v>0</v>
      </c>
      <c r="Y62" s="4">
        <v>43889.352599999998</v>
      </c>
      <c r="Z62" s="4">
        <v>1250.2913000000001</v>
      </c>
      <c r="AA62" s="4">
        <v>1.0653999999999999</v>
      </c>
      <c r="AB62" s="4">
        <v>1249.2258999999999</v>
      </c>
      <c r="AC62" s="4">
        <v>6945.3431</v>
      </c>
      <c r="AD62" s="4">
        <v>16095.834792879899</v>
      </c>
      <c r="AE62" s="4">
        <v>9550.8187593332095</v>
      </c>
      <c r="AF62" s="4">
        <v>6545.0160335466599</v>
      </c>
      <c r="AG62" s="4">
        <v>397.78928914926598</v>
      </c>
      <c r="AH62" s="4">
        <v>27.133825554885</v>
      </c>
      <c r="AI62" s="4">
        <v>370.65546359438099</v>
      </c>
    </row>
    <row r="63" spans="1:35" x14ac:dyDescent="0.2">
      <c r="A63" s="3">
        <v>42979</v>
      </c>
      <c r="B63" s="4">
        <v>49850.673799999997</v>
      </c>
      <c r="C63" s="4">
        <v>10321.5355</v>
      </c>
      <c r="D63" s="4">
        <v>6465.3433000000005</v>
      </c>
      <c r="E63" s="4">
        <v>3856.1922</v>
      </c>
      <c r="F63" s="5">
        <v>16048.1739</v>
      </c>
      <c r="G63" s="4">
        <v>3189.8272000000002</v>
      </c>
      <c r="H63" s="4">
        <v>12858.3467</v>
      </c>
      <c r="I63" s="5">
        <v>4669.7044999999998</v>
      </c>
      <c r="J63" s="4">
        <v>584.37360000000001</v>
      </c>
      <c r="K63" s="4">
        <v>4085.3308999999999</v>
      </c>
      <c r="L63" s="4">
        <v>8232.4006000000008</v>
      </c>
      <c r="M63" s="4">
        <v>5964.5304999999998</v>
      </c>
      <c r="N63" s="4">
        <v>2267.8701000000001</v>
      </c>
      <c r="O63" s="4">
        <v>0</v>
      </c>
      <c r="P63" s="4">
        <v>25.1999</v>
      </c>
      <c r="Q63" s="4">
        <v>25.1999</v>
      </c>
      <c r="R63" s="4">
        <v>10553.6594</v>
      </c>
      <c r="S63" s="4">
        <v>-1916.4296999999999</v>
      </c>
      <c r="T63" s="4">
        <v>51767.103499999997</v>
      </c>
      <c r="U63" s="4">
        <v>0</v>
      </c>
      <c r="V63" s="4">
        <v>0</v>
      </c>
      <c r="W63" s="4">
        <v>43214.248399999997</v>
      </c>
      <c r="X63" s="4">
        <v>0</v>
      </c>
      <c r="Y63" s="4">
        <v>43214.248399999997</v>
      </c>
      <c r="Z63" s="4">
        <v>1324.1592000000001</v>
      </c>
      <c r="AA63" s="4">
        <v>1.1437999999999999</v>
      </c>
      <c r="AB63" s="4">
        <v>1323.0154</v>
      </c>
      <c r="AC63" s="4">
        <v>7228.6958999999997</v>
      </c>
      <c r="AD63" s="4">
        <v>15548.5672613441</v>
      </c>
      <c r="AE63" s="4">
        <v>9307.5988661265001</v>
      </c>
      <c r="AF63" s="4">
        <v>6240.9683952175501</v>
      </c>
      <c r="AG63" s="4">
        <v>-142.68475836839499</v>
      </c>
      <c r="AH63" s="4">
        <v>25.053367943484201</v>
      </c>
      <c r="AI63" s="4">
        <v>-167.738126311879</v>
      </c>
    </row>
    <row r="64" spans="1:35" x14ac:dyDescent="0.2">
      <c r="A64" s="3">
        <v>43070</v>
      </c>
      <c r="B64" s="4">
        <v>46637.481399999997</v>
      </c>
      <c r="C64" s="4">
        <v>10238.9359</v>
      </c>
      <c r="D64" s="4">
        <v>6614.5483999999997</v>
      </c>
      <c r="E64" s="4">
        <v>3624.3874999999998</v>
      </c>
      <c r="F64" s="5">
        <v>14185.136500000001</v>
      </c>
      <c r="G64" s="4">
        <v>2067.8955999999998</v>
      </c>
      <c r="H64" s="4">
        <v>12117.241</v>
      </c>
      <c r="I64" s="5">
        <v>4672.1878999999999</v>
      </c>
      <c r="J64" s="4">
        <v>127.5536</v>
      </c>
      <c r="K64" s="4">
        <v>4544.6342999999997</v>
      </c>
      <c r="L64" s="4">
        <v>7127.7448999999997</v>
      </c>
      <c r="M64" s="4">
        <v>5316.0671000000002</v>
      </c>
      <c r="N64" s="4">
        <v>1811.6777999999999</v>
      </c>
      <c r="O64" s="4">
        <v>0</v>
      </c>
      <c r="P64" s="4">
        <v>25.740100000000002</v>
      </c>
      <c r="Q64" s="4">
        <v>25.740100000000002</v>
      </c>
      <c r="R64" s="4">
        <v>10387.736199999999</v>
      </c>
      <c r="S64" s="4">
        <v>-6017.0020999999997</v>
      </c>
      <c r="T64" s="4">
        <v>52654.483500000002</v>
      </c>
      <c r="U64" s="4">
        <v>0</v>
      </c>
      <c r="V64" s="4">
        <v>0</v>
      </c>
      <c r="W64" s="4">
        <v>44165.582799999996</v>
      </c>
      <c r="X64" s="4">
        <v>0</v>
      </c>
      <c r="Y64" s="4">
        <v>44165.582799999996</v>
      </c>
      <c r="Z64" s="4">
        <v>1307.0161000000001</v>
      </c>
      <c r="AA64" s="4">
        <v>1.1700999999999999</v>
      </c>
      <c r="AB64" s="4">
        <v>1305.846</v>
      </c>
      <c r="AC64" s="4">
        <v>7181.8846000000003</v>
      </c>
      <c r="AD64" s="4">
        <v>15226.5566436848</v>
      </c>
      <c r="AE64" s="4">
        <v>9067.6188981017294</v>
      </c>
      <c r="AF64" s="4">
        <v>6158.93774558311</v>
      </c>
      <c r="AG64" s="4">
        <v>56.347434500666402</v>
      </c>
      <c r="AH64" s="4">
        <v>24.270489212642399</v>
      </c>
      <c r="AI64" s="4">
        <v>32.076945288024</v>
      </c>
    </row>
    <row r="65" spans="1:35" x14ac:dyDescent="0.2">
      <c r="A65" s="3">
        <v>43160</v>
      </c>
      <c r="B65" s="4">
        <v>46792.701000000001</v>
      </c>
      <c r="C65" s="4">
        <v>9645.2271000000001</v>
      </c>
      <c r="D65" s="4">
        <v>6718.6715999999997</v>
      </c>
      <c r="E65" s="4">
        <v>2926.5554999999999</v>
      </c>
      <c r="F65" s="5">
        <v>13866.358399999999</v>
      </c>
      <c r="G65" s="4">
        <v>1870.4801</v>
      </c>
      <c r="H65" s="4">
        <v>11995.8783</v>
      </c>
      <c r="I65" s="5">
        <v>4939.5986000000003</v>
      </c>
      <c r="J65" s="4">
        <v>129.33199999999999</v>
      </c>
      <c r="K65" s="4">
        <v>4810.2667000000001</v>
      </c>
      <c r="L65" s="4">
        <v>6867.5733</v>
      </c>
      <c r="M65" s="4">
        <v>5005.0088999999998</v>
      </c>
      <c r="N65" s="4">
        <v>1862.5644</v>
      </c>
      <c r="O65" s="4">
        <v>0</v>
      </c>
      <c r="P65" s="4">
        <v>26.220099999999999</v>
      </c>
      <c r="Q65" s="4">
        <v>26.220099999999999</v>
      </c>
      <c r="R65" s="4">
        <v>11447.723400000001</v>
      </c>
      <c r="S65" s="4">
        <v>-6828.2915999999996</v>
      </c>
      <c r="T65" s="4">
        <v>53620.9925</v>
      </c>
      <c r="U65" s="4">
        <v>0</v>
      </c>
      <c r="V65" s="4">
        <v>0</v>
      </c>
      <c r="W65" s="4">
        <v>44361.884599999998</v>
      </c>
      <c r="X65" s="4">
        <v>0</v>
      </c>
      <c r="Y65" s="4">
        <v>44361.884599999998</v>
      </c>
      <c r="Z65" s="4">
        <v>1354.5418999999999</v>
      </c>
      <c r="AA65" s="4">
        <v>1.1981999999999999</v>
      </c>
      <c r="AB65" s="4">
        <v>1353.3436999999999</v>
      </c>
      <c r="AC65" s="4">
        <v>7904.5661</v>
      </c>
      <c r="AD65" s="4">
        <v>15168.622644859301</v>
      </c>
      <c r="AE65" s="4">
        <v>9041.1156630648602</v>
      </c>
      <c r="AF65" s="4">
        <v>6127.5069817944504</v>
      </c>
      <c r="AG65" s="4">
        <v>56.846937440341399</v>
      </c>
      <c r="AH65" s="4">
        <v>24.7120318324613</v>
      </c>
      <c r="AI65" s="4">
        <v>32.134905607880199</v>
      </c>
    </row>
    <row r="66" spans="1:35" x14ac:dyDescent="0.2">
      <c r="A66" s="3">
        <v>43252</v>
      </c>
      <c r="B66" s="4">
        <v>50115.067999999999</v>
      </c>
      <c r="C66" s="4">
        <v>10466.711600000001</v>
      </c>
      <c r="D66" s="4">
        <v>6657.0587999999998</v>
      </c>
      <c r="E66" s="4">
        <v>3809.6527999999998</v>
      </c>
      <c r="F66" s="5">
        <v>13768.8261</v>
      </c>
      <c r="G66" s="4">
        <v>1377.5392999999999</v>
      </c>
      <c r="H66" s="4">
        <v>12391.2868</v>
      </c>
      <c r="I66" s="5">
        <v>5481.8325999999997</v>
      </c>
      <c r="J66" s="4">
        <v>598.41420000000005</v>
      </c>
      <c r="K66" s="4">
        <v>4883.4183999999996</v>
      </c>
      <c r="L66" s="4">
        <v>8553.1111000000001</v>
      </c>
      <c r="M66" s="4">
        <v>6272.7699000000002</v>
      </c>
      <c r="N66" s="4">
        <v>2280.3411999999998</v>
      </c>
      <c r="O66" s="4">
        <v>0</v>
      </c>
      <c r="P66" s="4">
        <v>26.5565</v>
      </c>
      <c r="Q66" s="4">
        <v>26.5565</v>
      </c>
      <c r="R66" s="4">
        <v>11818.0301</v>
      </c>
      <c r="S66" s="4">
        <v>-4470.8804</v>
      </c>
      <c r="T66" s="4">
        <v>54585.948400000001</v>
      </c>
      <c r="U66" s="4">
        <v>0</v>
      </c>
      <c r="V66" s="4">
        <v>0</v>
      </c>
      <c r="W66" s="4">
        <v>46238.4591</v>
      </c>
      <c r="X66" s="4">
        <v>0</v>
      </c>
      <c r="Y66" s="4">
        <v>46238.4591</v>
      </c>
      <c r="Z66" s="4">
        <v>1374.8254999999999</v>
      </c>
      <c r="AA66" s="4">
        <v>1.2023999999999999</v>
      </c>
      <c r="AB66" s="4">
        <v>1373.6231</v>
      </c>
      <c r="AC66" s="4">
        <v>6972.6638999999996</v>
      </c>
      <c r="AD66" s="4">
        <v>15879.6245273083</v>
      </c>
      <c r="AE66" s="4">
        <v>9483.9734558947293</v>
      </c>
      <c r="AF66" s="4">
        <v>6395.6510714135902</v>
      </c>
      <c r="AG66" s="4">
        <v>58.6631822569775</v>
      </c>
      <c r="AH66" s="4">
        <v>26.027204617499901</v>
      </c>
      <c r="AI66" s="4">
        <v>32.635977639477602</v>
      </c>
    </row>
    <row r="67" spans="1:35" x14ac:dyDescent="0.2">
      <c r="A67" s="3">
        <v>43344</v>
      </c>
      <c r="B67" s="4">
        <v>52615.388599999998</v>
      </c>
      <c r="C67" s="4">
        <v>11545.0499</v>
      </c>
      <c r="D67" s="4">
        <v>7064.7529999999997</v>
      </c>
      <c r="E67" s="4">
        <v>4480.2969000000003</v>
      </c>
      <c r="F67" s="5">
        <v>13717.920400000001</v>
      </c>
      <c r="G67" s="4">
        <v>1728.0141000000001</v>
      </c>
      <c r="H67" s="4">
        <v>11989.906300000001</v>
      </c>
      <c r="I67" s="5">
        <v>5485.5851000000002</v>
      </c>
      <c r="J67" s="4">
        <v>462.93090000000001</v>
      </c>
      <c r="K67" s="4">
        <v>5022.6541999999999</v>
      </c>
      <c r="L67" s="4">
        <v>9515.1337000000003</v>
      </c>
      <c r="M67" s="4">
        <v>6894.6630999999998</v>
      </c>
      <c r="N67" s="4">
        <v>2620.4706000000001</v>
      </c>
      <c r="O67" s="4">
        <v>0</v>
      </c>
      <c r="P67" s="4">
        <v>27.0246</v>
      </c>
      <c r="Q67" s="4">
        <v>27.0246</v>
      </c>
      <c r="R67" s="4">
        <v>12324.674800000001</v>
      </c>
      <c r="S67" s="4">
        <v>-5239.8809000000001</v>
      </c>
      <c r="T67" s="4">
        <v>57855.269500000002</v>
      </c>
      <c r="U67" s="4">
        <v>0</v>
      </c>
      <c r="V67" s="4">
        <v>0</v>
      </c>
      <c r="W67" s="4">
        <v>48412.958100000003</v>
      </c>
      <c r="X67" s="4">
        <v>0</v>
      </c>
      <c r="Y67" s="4">
        <v>48412.958100000003</v>
      </c>
      <c r="Z67" s="4">
        <v>1399.7527</v>
      </c>
      <c r="AA67" s="4">
        <v>1.3520000000000001</v>
      </c>
      <c r="AB67" s="4">
        <v>1398.4006999999999</v>
      </c>
      <c r="AC67" s="4">
        <v>8042.5586999999996</v>
      </c>
      <c r="AD67" s="4">
        <v>15958.234039911</v>
      </c>
      <c r="AE67" s="4">
        <v>9274.5003580333705</v>
      </c>
      <c r="AF67" s="4">
        <v>6683.7336818776603</v>
      </c>
      <c r="AG67" s="4">
        <v>-132.92322933231</v>
      </c>
      <c r="AH67" s="4">
        <v>-330.31863981324699</v>
      </c>
      <c r="AI67" s="4">
        <v>197.39541048093699</v>
      </c>
    </row>
    <row r="68" spans="1:35" x14ac:dyDescent="0.2">
      <c r="A68" s="3">
        <v>43435</v>
      </c>
      <c r="B68" s="4">
        <v>53550.520600000003</v>
      </c>
      <c r="C68" s="4">
        <v>10924.319</v>
      </c>
      <c r="D68" s="4">
        <v>7175.0237999999999</v>
      </c>
      <c r="E68" s="4">
        <v>3749.2952</v>
      </c>
      <c r="F68" s="5">
        <v>14276.8969</v>
      </c>
      <c r="G68" s="4">
        <v>1522.8136999999999</v>
      </c>
      <c r="H68" s="4">
        <v>12754.083199999999</v>
      </c>
      <c r="I68" s="5">
        <v>5897.0771000000004</v>
      </c>
      <c r="J68" s="4">
        <v>511.5806</v>
      </c>
      <c r="K68" s="4">
        <v>5385.4965000000002</v>
      </c>
      <c r="L68" s="4">
        <v>10930.8382</v>
      </c>
      <c r="M68" s="4">
        <v>8877.0270999999993</v>
      </c>
      <c r="N68" s="4">
        <v>2053.8110999999999</v>
      </c>
      <c r="O68" s="4">
        <v>0</v>
      </c>
      <c r="P68" s="4">
        <v>28.184799999999999</v>
      </c>
      <c r="Q68" s="4">
        <v>28.184799999999999</v>
      </c>
      <c r="R68" s="4">
        <v>11493.2045</v>
      </c>
      <c r="S68" s="4">
        <v>-7457.2599</v>
      </c>
      <c r="T68" s="4">
        <v>61007.780599999998</v>
      </c>
      <c r="U68" s="4">
        <v>0</v>
      </c>
      <c r="V68" s="4">
        <v>0</v>
      </c>
      <c r="W68" s="4">
        <v>51222.787300000004</v>
      </c>
      <c r="X68" s="4">
        <v>0</v>
      </c>
      <c r="Y68" s="4">
        <v>51222.787300000004</v>
      </c>
      <c r="Z68" s="4">
        <v>1460.933</v>
      </c>
      <c r="AA68" s="4">
        <v>1.4791000000000001</v>
      </c>
      <c r="AB68" s="4">
        <v>1459.4539</v>
      </c>
      <c r="AC68" s="4">
        <v>8324.0602999999992</v>
      </c>
      <c r="AD68" s="4">
        <v>16561.589522100901</v>
      </c>
      <c r="AE68" s="4">
        <v>9836.4510198052194</v>
      </c>
      <c r="AF68" s="4">
        <v>6725.1385022956802</v>
      </c>
      <c r="AG68" s="4">
        <v>-84.5286033763267</v>
      </c>
      <c r="AH68" s="4">
        <v>28.040808702564298</v>
      </c>
      <c r="AI68" s="4">
        <v>-112.56941207889101</v>
      </c>
    </row>
    <row r="69" spans="1:35" x14ac:dyDescent="0.2">
      <c r="A69" s="3">
        <v>43525</v>
      </c>
      <c r="B69" s="4">
        <v>54834.533600000002</v>
      </c>
      <c r="C69" s="4">
        <v>11018.429099999999</v>
      </c>
      <c r="D69" s="4">
        <v>7104.2192999999997</v>
      </c>
      <c r="E69" s="4">
        <v>3914.2098000000001</v>
      </c>
      <c r="F69" s="5">
        <v>13657.8665</v>
      </c>
      <c r="G69" s="4">
        <v>1654.5880999999999</v>
      </c>
      <c r="H69" s="4">
        <v>12003.278399999999</v>
      </c>
      <c r="I69" s="5">
        <v>6153.5370999999996</v>
      </c>
      <c r="J69" s="4">
        <v>417.71249999999998</v>
      </c>
      <c r="K69" s="4">
        <v>5735.8245999999999</v>
      </c>
      <c r="L69" s="4">
        <v>11523.8421</v>
      </c>
      <c r="M69" s="4">
        <v>8761.8382999999994</v>
      </c>
      <c r="N69" s="4">
        <v>2762.0038</v>
      </c>
      <c r="O69" s="4">
        <v>0</v>
      </c>
      <c r="P69" s="4">
        <v>28.809899999999999</v>
      </c>
      <c r="Q69" s="4">
        <v>28.809899999999999</v>
      </c>
      <c r="R69" s="4">
        <v>12452.0489</v>
      </c>
      <c r="S69" s="4">
        <v>-9668.7366000000002</v>
      </c>
      <c r="T69" s="4">
        <v>64503.270199999999</v>
      </c>
      <c r="U69" s="4">
        <v>0</v>
      </c>
      <c r="V69" s="4">
        <v>0</v>
      </c>
      <c r="W69" s="4">
        <v>53675.504200000003</v>
      </c>
      <c r="X69" s="4">
        <v>0</v>
      </c>
      <c r="Y69" s="4">
        <v>53675.504200000003</v>
      </c>
      <c r="Z69" s="4">
        <v>1416.0127</v>
      </c>
      <c r="AA69" s="4">
        <v>3.6556000000000002</v>
      </c>
      <c r="AB69" s="4">
        <v>1412.3571999999999</v>
      </c>
      <c r="AC69" s="4">
        <v>9411.7533000000003</v>
      </c>
      <c r="AD69" s="4">
        <v>16652.752182881999</v>
      </c>
      <c r="AE69" s="4">
        <v>9769.5667960228893</v>
      </c>
      <c r="AF69" s="4">
        <v>6883.1853868591497</v>
      </c>
      <c r="AG69" s="4">
        <v>75.805564877062594</v>
      </c>
      <c r="AH69" s="4">
        <v>31.073787711915202</v>
      </c>
      <c r="AI69" s="4">
        <v>44.731777165147399</v>
      </c>
    </row>
    <row r="70" spans="1:35" x14ac:dyDescent="0.2">
      <c r="A70" s="3">
        <v>43617</v>
      </c>
      <c r="B70" s="4">
        <v>58112.73</v>
      </c>
      <c r="C70" s="4">
        <v>12720.897300000001</v>
      </c>
      <c r="D70" s="4">
        <v>7184.5185000000001</v>
      </c>
      <c r="E70" s="4">
        <v>5536.3788000000004</v>
      </c>
      <c r="F70" s="5">
        <v>13478.8526</v>
      </c>
      <c r="G70" s="4">
        <v>1732.1494</v>
      </c>
      <c r="H70" s="4">
        <v>11746.7032</v>
      </c>
      <c r="I70" s="5">
        <v>6508.8725000000004</v>
      </c>
      <c r="J70" s="4">
        <v>755.40610000000004</v>
      </c>
      <c r="K70" s="4">
        <v>5753.4664000000002</v>
      </c>
      <c r="L70" s="4">
        <v>12447.5818</v>
      </c>
      <c r="M70" s="4">
        <v>9024.5105000000003</v>
      </c>
      <c r="N70" s="4">
        <v>3423.0713000000001</v>
      </c>
      <c r="O70" s="4">
        <v>0</v>
      </c>
      <c r="P70" s="4">
        <v>29.475999999999999</v>
      </c>
      <c r="Q70" s="4">
        <v>29.475999999999999</v>
      </c>
      <c r="R70" s="4">
        <v>12927.0497</v>
      </c>
      <c r="S70" s="4">
        <v>-12468.4138</v>
      </c>
      <c r="T70" s="4">
        <v>70581.143800000005</v>
      </c>
      <c r="U70" s="4">
        <v>0</v>
      </c>
      <c r="V70" s="4">
        <v>0</v>
      </c>
      <c r="W70" s="4">
        <v>59944.016100000001</v>
      </c>
      <c r="X70" s="4">
        <v>0</v>
      </c>
      <c r="Y70" s="4">
        <v>59944.016100000001</v>
      </c>
      <c r="Z70" s="4">
        <v>1463.7612999999999</v>
      </c>
      <c r="AA70" s="4">
        <v>4.9676</v>
      </c>
      <c r="AB70" s="4">
        <v>1458.7936</v>
      </c>
      <c r="AC70" s="4">
        <v>9173.3662999999997</v>
      </c>
      <c r="AD70" s="4">
        <v>16741.9489070036</v>
      </c>
      <c r="AE70" s="4">
        <v>9647.1432423911901</v>
      </c>
      <c r="AF70" s="4">
        <v>7094.8056646123996</v>
      </c>
      <c r="AG70" s="4">
        <v>-314.22574715820298</v>
      </c>
      <c r="AH70" s="4">
        <v>-354.56091098301698</v>
      </c>
      <c r="AI70" s="4">
        <v>40.3351638248146</v>
      </c>
    </row>
    <row r="71" spans="1:35" x14ac:dyDescent="0.2">
      <c r="A71" s="3">
        <v>43709</v>
      </c>
      <c r="B71" s="4">
        <v>61387.456400000003</v>
      </c>
      <c r="C71" s="4">
        <v>11976.231599999999</v>
      </c>
      <c r="D71" s="4">
        <v>7595.0226000000002</v>
      </c>
      <c r="E71" s="4">
        <v>4381.2091</v>
      </c>
      <c r="F71" s="5">
        <v>14483.1752</v>
      </c>
      <c r="G71" s="4">
        <v>1579.6921</v>
      </c>
      <c r="H71" s="4">
        <v>12903.483099999999</v>
      </c>
      <c r="I71" s="5">
        <v>6805.5056999999997</v>
      </c>
      <c r="J71" s="4">
        <v>922.18690000000004</v>
      </c>
      <c r="K71" s="4">
        <v>5883.3188</v>
      </c>
      <c r="L71" s="4">
        <v>14703.915999999999</v>
      </c>
      <c r="M71" s="4">
        <v>11222.120800000001</v>
      </c>
      <c r="N71" s="4">
        <v>3481.7952</v>
      </c>
      <c r="O71" s="4">
        <v>0</v>
      </c>
      <c r="P71" s="4">
        <v>29.18</v>
      </c>
      <c r="Q71" s="4">
        <v>29.18</v>
      </c>
      <c r="R71" s="4">
        <v>13389.447899999999</v>
      </c>
      <c r="S71" s="4">
        <v>-14511.136</v>
      </c>
      <c r="T71" s="4">
        <v>75898.592399999994</v>
      </c>
      <c r="U71" s="4">
        <v>0</v>
      </c>
      <c r="V71" s="4">
        <v>0</v>
      </c>
      <c r="W71" s="4">
        <v>64997.414299999997</v>
      </c>
      <c r="X71" s="4">
        <v>0</v>
      </c>
      <c r="Y71" s="4">
        <v>64997.414299999997</v>
      </c>
      <c r="Z71" s="4">
        <v>1574.9195</v>
      </c>
      <c r="AA71" s="4">
        <v>6.4974999999999996</v>
      </c>
      <c r="AB71" s="4">
        <v>1568.422</v>
      </c>
      <c r="AC71" s="4">
        <v>9326.2585999999992</v>
      </c>
      <c r="AD71" s="4">
        <v>17896.7369278814</v>
      </c>
      <c r="AE71" s="4">
        <v>10278.245113994901</v>
      </c>
      <c r="AF71" s="4">
        <v>7618.4918138864896</v>
      </c>
      <c r="AG71" s="4">
        <v>73.369346700407405</v>
      </c>
      <c r="AH71" s="4">
        <v>29.119072418451701</v>
      </c>
      <c r="AI71" s="4">
        <v>44.250274281955697</v>
      </c>
    </row>
    <row r="72" spans="1:35" x14ac:dyDescent="0.2">
      <c r="A72" s="3">
        <v>43800</v>
      </c>
      <c r="B72" s="4">
        <v>59839.814100000003</v>
      </c>
      <c r="C72" s="4">
        <v>11745.9719</v>
      </c>
      <c r="D72" s="4">
        <v>8145.5586999999996</v>
      </c>
      <c r="E72" s="4">
        <v>3600.4132</v>
      </c>
      <c r="F72" s="5">
        <v>13195.4941</v>
      </c>
      <c r="G72" s="4">
        <v>1286.6355000000001</v>
      </c>
      <c r="H72" s="4">
        <v>11908.8586</v>
      </c>
      <c r="I72" s="5">
        <v>6183.3662000000004</v>
      </c>
      <c r="J72" s="4">
        <v>436.94299999999998</v>
      </c>
      <c r="K72" s="4">
        <v>5746.4232000000002</v>
      </c>
      <c r="L72" s="4">
        <v>15240.995999999999</v>
      </c>
      <c r="M72" s="4">
        <v>11972.864600000001</v>
      </c>
      <c r="N72" s="4">
        <v>3268.1314000000002</v>
      </c>
      <c r="O72" s="4">
        <v>0</v>
      </c>
      <c r="P72" s="4">
        <v>31.567699999999999</v>
      </c>
      <c r="Q72" s="4">
        <v>31.567699999999999</v>
      </c>
      <c r="R72" s="4">
        <v>13442.418100000001</v>
      </c>
      <c r="S72" s="4">
        <v>-15964.422699999999</v>
      </c>
      <c r="T72" s="4">
        <v>75804.236799999999</v>
      </c>
      <c r="U72" s="4">
        <v>0</v>
      </c>
      <c r="V72" s="4">
        <v>0</v>
      </c>
      <c r="W72" s="4">
        <v>63657.791700000002</v>
      </c>
      <c r="X72" s="4">
        <v>0</v>
      </c>
      <c r="Y72" s="4">
        <v>63657.791700000002</v>
      </c>
      <c r="Z72" s="4">
        <v>1641.2511999999999</v>
      </c>
      <c r="AA72" s="4">
        <v>5.0288000000000004</v>
      </c>
      <c r="AB72" s="4">
        <v>1636.2224000000001</v>
      </c>
      <c r="AC72" s="4">
        <v>10505.1939</v>
      </c>
      <c r="AD72" s="4">
        <v>17160.133184830502</v>
      </c>
      <c r="AE72" s="4">
        <v>9109.2391380967692</v>
      </c>
      <c r="AF72" s="4">
        <v>8050.8940467337197</v>
      </c>
      <c r="AG72" s="4">
        <v>-1432.8806527121001</v>
      </c>
      <c r="AH72" s="4">
        <v>-1480.9928031188899</v>
      </c>
      <c r="AI72" s="4">
        <v>48.112150406787499</v>
      </c>
    </row>
    <row r="73" spans="1:35" x14ac:dyDescent="0.2">
      <c r="A73" s="3">
        <v>43891</v>
      </c>
      <c r="B73" s="4">
        <v>71887.670800000007</v>
      </c>
      <c r="C73" s="4">
        <v>13583.369500000001</v>
      </c>
      <c r="D73" s="4">
        <v>7901.0105000000003</v>
      </c>
      <c r="E73" s="4">
        <v>5682.3589000000002</v>
      </c>
      <c r="F73" s="5">
        <v>18527.5658</v>
      </c>
      <c r="G73" s="4">
        <v>2425.7433999999998</v>
      </c>
      <c r="H73" s="4">
        <v>16101.822399999999</v>
      </c>
      <c r="I73" s="5">
        <v>6815.5092999999997</v>
      </c>
      <c r="J73" s="4">
        <v>732.85350000000005</v>
      </c>
      <c r="K73" s="4">
        <v>6082.6558000000005</v>
      </c>
      <c r="L73" s="4">
        <v>17989.448700000001</v>
      </c>
      <c r="M73" s="4">
        <v>14594.870199999999</v>
      </c>
      <c r="N73" s="4">
        <v>3394.5785999999998</v>
      </c>
      <c r="O73" s="4">
        <v>0</v>
      </c>
      <c r="P73" s="4">
        <v>31.5108</v>
      </c>
      <c r="Q73" s="4">
        <v>31.5108</v>
      </c>
      <c r="R73" s="4">
        <v>14940.2667</v>
      </c>
      <c r="S73" s="4">
        <v>-6344.3261000000002</v>
      </c>
      <c r="T73" s="4">
        <v>78231.996899999998</v>
      </c>
      <c r="U73" s="4">
        <v>0</v>
      </c>
      <c r="V73" s="4">
        <v>0</v>
      </c>
      <c r="W73" s="4">
        <v>65234.725700000003</v>
      </c>
      <c r="X73" s="4">
        <v>0</v>
      </c>
      <c r="Y73" s="4">
        <v>65234.725700000003</v>
      </c>
      <c r="Z73" s="4">
        <v>1749.9949999999999</v>
      </c>
      <c r="AA73" s="4">
        <v>5.4267000000000003</v>
      </c>
      <c r="AB73" s="4">
        <v>1744.5682999999999</v>
      </c>
      <c r="AC73" s="4">
        <v>11247.2763</v>
      </c>
      <c r="AD73" s="4">
        <v>18835.944845779199</v>
      </c>
      <c r="AE73" s="4">
        <v>10438.5166673697</v>
      </c>
      <c r="AF73" s="4">
        <v>8397.4281784094492</v>
      </c>
      <c r="AG73" s="4">
        <v>76.217882321561902</v>
      </c>
      <c r="AH73" s="4">
        <v>25.958299831142099</v>
      </c>
      <c r="AI73" s="4">
        <v>50.259582490419803</v>
      </c>
    </row>
    <row r="74" spans="1:35" x14ac:dyDescent="0.2">
      <c r="A74" s="3">
        <v>43983</v>
      </c>
      <c r="B74" s="4">
        <v>72456.901800000007</v>
      </c>
      <c r="C74" s="4">
        <v>12740.245199999999</v>
      </c>
      <c r="D74" s="4">
        <v>7891.3108000000002</v>
      </c>
      <c r="E74" s="4">
        <v>4848.9345000000003</v>
      </c>
      <c r="F74" s="5">
        <v>18837.4431</v>
      </c>
      <c r="G74" s="4">
        <v>3542.4647</v>
      </c>
      <c r="H74" s="4">
        <v>15294.9784</v>
      </c>
      <c r="I74" s="5">
        <v>6459.3648000000003</v>
      </c>
      <c r="J74" s="4">
        <v>400.87360000000001</v>
      </c>
      <c r="K74" s="4">
        <v>6058.4912000000004</v>
      </c>
      <c r="L74" s="4">
        <v>18058.322100000001</v>
      </c>
      <c r="M74" s="4">
        <v>14493.6253</v>
      </c>
      <c r="N74" s="4">
        <v>3564.6968000000002</v>
      </c>
      <c r="O74" s="4">
        <v>0</v>
      </c>
      <c r="P74" s="4">
        <v>29.696200000000001</v>
      </c>
      <c r="Q74" s="4">
        <v>29.696200000000001</v>
      </c>
      <c r="R74" s="4">
        <v>16331.830400000001</v>
      </c>
      <c r="S74" s="4">
        <v>-15655.801799999999</v>
      </c>
      <c r="T74" s="4">
        <v>88112.703599999993</v>
      </c>
      <c r="U74" s="4">
        <v>0</v>
      </c>
      <c r="V74" s="4">
        <v>0</v>
      </c>
      <c r="W74" s="4">
        <v>74869.890299999999</v>
      </c>
      <c r="X74" s="4">
        <v>2444.3968</v>
      </c>
      <c r="Y74" s="4">
        <v>72425.493499999997</v>
      </c>
      <c r="Z74" s="4">
        <v>1695.9690000000001</v>
      </c>
      <c r="AA74" s="4">
        <v>5.3250000000000002</v>
      </c>
      <c r="AB74" s="4">
        <v>1690.6441</v>
      </c>
      <c r="AC74" s="4">
        <v>11546.844300000001</v>
      </c>
      <c r="AD74" s="4">
        <v>17434.230058322599</v>
      </c>
      <c r="AE74" s="4">
        <v>8628.5061522156593</v>
      </c>
      <c r="AF74" s="4">
        <v>8805.7239061069104</v>
      </c>
      <c r="AG74" s="4">
        <v>-1573.92281466339</v>
      </c>
      <c r="AH74" s="4">
        <v>-1624.9044206583401</v>
      </c>
      <c r="AI74" s="4">
        <v>50.9816059949436</v>
      </c>
    </row>
    <row r="75" spans="1:35" x14ac:dyDescent="0.2">
      <c r="A75" s="3">
        <v>44075</v>
      </c>
      <c r="B75" s="4">
        <v>68815.6054</v>
      </c>
      <c r="C75" s="4">
        <v>13130.3866</v>
      </c>
      <c r="D75" s="4">
        <v>7656.6194999999998</v>
      </c>
      <c r="E75" s="4">
        <v>5473.7671</v>
      </c>
      <c r="F75" s="5">
        <v>13418.233200000001</v>
      </c>
      <c r="G75" s="4">
        <v>1766.8303000000001</v>
      </c>
      <c r="H75" s="4">
        <v>11651.402899999999</v>
      </c>
      <c r="I75" s="5">
        <v>7214.0753000000004</v>
      </c>
      <c r="J75" s="4">
        <v>493.2371</v>
      </c>
      <c r="K75" s="4">
        <v>6720.8382000000001</v>
      </c>
      <c r="L75" s="4">
        <v>16032.5766</v>
      </c>
      <c r="M75" s="4">
        <v>13741.644200000001</v>
      </c>
      <c r="N75" s="4">
        <v>2290.9324000000001</v>
      </c>
      <c r="O75" s="4">
        <v>0</v>
      </c>
      <c r="P75" s="4">
        <v>28.888400000000001</v>
      </c>
      <c r="Q75" s="4">
        <v>28.888400000000001</v>
      </c>
      <c r="R75" s="4">
        <v>18991.445400000001</v>
      </c>
      <c r="S75" s="4">
        <v>-21365.5141</v>
      </c>
      <c r="T75" s="4">
        <v>90181.119500000001</v>
      </c>
      <c r="U75" s="4">
        <v>0</v>
      </c>
      <c r="V75" s="4">
        <v>0</v>
      </c>
      <c r="W75" s="4">
        <v>74680.063099999999</v>
      </c>
      <c r="X75" s="4">
        <v>3993.8337999999999</v>
      </c>
      <c r="Y75" s="4">
        <v>70686.229300000006</v>
      </c>
      <c r="Z75" s="4">
        <v>1638.2953</v>
      </c>
      <c r="AA75" s="4">
        <v>5.4181999999999997</v>
      </c>
      <c r="AB75" s="4">
        <v>1632.8770999999999</v>
      </c>
      <c r="AC75" s="4">
        <v>13862.761200000001</v>
      </c>
      <c r="AD75" s="4">
        <v>16454.4279604111</v>
      </c>
      <c r="AE75" s="4">
        <v>7637.7076164319697</v>
      </c>
      <c r="AF75" s="4">
        <v>8816.7203439790992</v>
      </c>
      <c r="AG75" s="4">
        <v>-789.51221415105704</v>
      </c>
      <c r="AH75" s="4">
        <v>-835.87055442557096</v>
      </c>
      <c r="AI75" s="4">
        <v>46.358340274513303</v>
      </c>
    </row>
    <row r="76" spans="1:35" x14ac:dyDescent="0.2">
      <c r="A76" s="3">
        <v>44166</v>
      </c>
      <c r="B76" s="4">
        <v>62610.442199999998</v>
      </c>
      <c r="C76" s="4">
        <v>11070.3091</v>
      </c>
      <c r="D76" s="4">
        <v>7289.5282999999999</v>
      </c>
      <c r="E76" s="4">
        <v>3780.7808</v>
      </c>
      <c r="F76" s="5">
        <v>11645.687400000001</v>
      </c>
      <c r="G76" s="4">
        <v>3059.2464</v>
      </c>
      <c r="H76" s="4">
        <v>8586.4410000000007</v>
      </c>
      <c r="I76" s="5">
        <v>7360.4029</v>
      </c>
      <c r="J76" s="4">
        <v>361.4024</v>
      </c>
      <c r="K76" s="4">
        <v>6999.0005000000001</v>
      </c>
      <c r="L76" s="4">
        <v>16128.543100000001</v>
      </c>
      <c r="M76" s="4">
        <v>13534.848599999999</v>
      </c>
      <c r="N76" s="4">
        <v>2593.6945000000001</v>
      </c>
      <c r="O76" s="4">
        <v>0</v>
      </c>
      <c r="P76" s="4">
        <v>30.350999999999999</v>
      </c>
      <c r="Q76" s="4">
        <v>30.350999999999999</v>
      </c>
      <c r="R76" s="4">
        <v>16375.1487</v>
      </c>
      <c r="S76" s="4">
        <v>-26406.008399999999</v>
      </c>
      <c r="T76" s="4">
        <v>89016.450500000006</v>
      </c>
      <c r="U76" s="4">
        <v>0</v>
      </c>
      <c r="V76" s="4">
        <v>0</v>
      </c>
      <c r="W76" s="4">
        <v>75655.923200000005</v>
      </c>
      <c r="X76" s="4">
        <v>2874.2431000000001</v>
      </c>
      <c r="Y76" s="4">
        <v>72781.680099999998</v>
      </c>
      <c r="Z76" s="4">
        <v>1863.0517</v>
      </c>
      <c r="AA76" s="4">
        <v>6.5117000000000003</v>
      </c>
      <c r="AB76" s="4">
        <v>1856.54</v>
      </c>
      <c r="AC76" s="4">
        <v>11497.4756</v>
      </c>
      <c r="AD76" s="4">
        <v>13593.269424363099</v>
      </c>
      <c r="AE76" s="4">
        <v>6369.32745309243</v>
      </c>
      <c r="AF76" s="4">
        <v>7223.9419712706303</v>
      </c>
      <c r="AG76" s="4">
        <v>-1922.94077362382</v>
      </c>
      <c r="AH76" s="4">
        <v>-748.88070092336795</v>
      </c>
      <c r="AI76" s="4">
        <v>-1174.0600727004601</v>
      </c>
    </row>
    <row r="77" spans="1:35" x14ac:dyDescent="0.2">
      <c r="A77" s="3">
        <v>44256</v>
      </c>
      <c r="B77" s="4">
        <v>65852.596300000005</v>
      </c>
      <c r="C77" s="4">
        <v>10024.3896</v>
      </c>
      <c r="D77" s="4">
        <v>7351.8897999999999</v>
      </c>
      <c r="E77" s="4">
        <v>2672.4998000000001</v>
      </c>
      <c r="F77" s="5">
        <v>12227.757299999999</v>
      </c>
      <c r="G77" s="4">
        <v>4535.4956000000002</v>
      </c>
      <c r="H77" s="4">
        <v>7692.2617</v>
      </c>
      <c r="I77" s="5">
        <v>7782.1180999999997</v>
      </c>
      <c r="J77" s="4">
        <v>472.67219999999998</v>
      </c>
      <c r="K77" s="4">
        <v>7309.4458999999997</v>
      </c>
      <c r="L77" s="4">
        <v>17159.6993</v>
      </c>
      <c r="M77" s="4">
        <v>14591.5291</v>
      </c>
      <c r="N77" s="4">
        <v>2568.1702</v>
      </c>
      <c r="O77" s="4">
        <v>0</v>
      </c>
      <c r="P77" s="4">
        <v>30.611499999999999</v>
      </c>
      <c r="Q77" s="4">
        <v>30.611499999999999</v>
      </c>
      <c r="R77" s="4">
        <v>18628.0206</v>
      </c>
      <c r="S77" s="4">
        <v>-22183.709299999999</v>
      </c>
      <c r="T77" s="4">
        <v>88036.305699999997</v>
      </c>
      <c r="U77" s="4">
        <v>0</v>
      </c>
      <c r="V77" s="4">
        <v>0</v>
      </c>
      <c r="W77" s="4">
        <v>73420.703899999993</v>
      </c>
      <c r="X77" s="4">
        <v>2909.018</v>
      </c>
      <c r="Y77" s="4">
        <v>70511.685899999997</v>
      </c>
      <c r="Z77" s="4">
        <v>1879.8104000000001</v>
      </c>
      <c r="AA77" s="4">
        <v>6.2388000000000003</v>
      </c>
      <c r="AB77" s="4">
        <v>1873.5716</v>
      </c>
      <c r="AC77" s="4">
        <v>12735.791300000001</v>
      </c>
      <c r="AD77" s="4">
        <v>13640.7025508557</v>
      </c>
      <c r="AE77" s="4">
        <v>6260.9488365941197</v>
      </c>
      <c r="AF77" s="4">
        <v>7379.7537142615402</v>
      </c>
      <c r="AG77" s="4">
        <v>37.774904555178402</v>
      </c>
      <c r="AH77" s="4">
        <v>10.3884334716904</v>
      </c>
      <c r="AI77" s="4">
        <v>27.386471083488001</v>
      </c>
    </row>
    <row r="78" spans="1:35" x14ac:dyDescent="0.2">
      <c r="A78" s="3">
        <v>44348</v>
      </c>
      <c r="B78" s="4">
        <v>67164.340899999996</v>
      </c>
      <c r="C78" s="4">
        <v>10871.7817</v>
      </c>
      <c r="D78" s="4">
        <v>8000.3537999999999</v>
      </c>
      <c r="E78" s="4">
        <v>2871.4277999999999</v>
      </c>
      <c r="F78" s="5">
        <v>9608.4743999999992</v>
      </c>
      <c r="G78" s="4">
        <v>3065.2487999999998</v>
      </c>
      <c r="H78" s="4">
        <v>6543.2255999999998</v>
      </c>
      <c r="I78" s="5">
        <v>9092.8017</v>
      </c>
      <c r="J78" s="4">
        <v>1157.1249</v>
      </c>
      <c r="K78" s="4">
        <v>7935.6769000000004</v>
      </c>
      <c r="L78" s="4">
        <v>16865.8789</v>
      </c>
      <c r="M78" s="4">
        <v>14464.1095</v>
      </c>
      <c r="N78" s="4">
        <v>2401.7694000000001</v>
      </c>
      <c r="O78" s="4">
        <v>0</v>
      </c>
      <c r="P78" s="4">
        <v>30.143699999999999</v>
      </c>
      <c r="Q78" s="4">
        <v>30.143699999999999</v>
      </c>
      <c r="R78" s="4">
        <v>20695.260600000001</v>
      </c>
      <c r="S78" s="4">
        <v>-22626.741699999999</v>
      </c>
      <c r="T78" s="4">
        <v>89791.082599999994</v>
      </c>
      <c r="U78" s="4">
        <v>0</v>
      </c>
      <c r="V78" s="4">
        <v>0</v>
      </c>
      <c r="W78" s="4">
        <v>73501.138699999996</v>
      </c>
      <c r="X78" s="4">
        <v>3703.3512000000001</v>
      </c>
      <c r="Y78" s="4">
        <v>69797.787500000006</v>
      </c>
      <c r="Z78" s="4">
        <v>1910.0871999999999</v>
      </c>
      <c r="AA78" s="4">
        <v>6.0198999999999998</v>
      </c>
      <c r="AB78" s="4">
        <v>1904.0672999999999</v>
      </c>
      <c r="AC78" s="4">
        <v>14379.8568</v>
      </c>
      <c r="AD78" s="4">
        <v>9056.1811467260904</v>
      </c>
      <c r="AE78" s="4">
        <v>3625.0472527710899</v>
      </c>
      <c r="AF78" s="4">
        <v>5431.1338939550096</v>
      </c>
      <c r="AG78" s="4">
        <v>-4762.9608486463403</v>
      </c>
      <c r="AH78" s="4">
        <v>-2673.85820785748</v>
      </c>
      <c r="AI78" s="4">
        <v>-2089.1026407888598</v>
      </c>
    </row>
    <row r="79" spans="1:35" x14ac:dyDescent="0.2">
      <c r="A79" s="3">
        <v>44440</v>
      </c>
      <c r="B79" s="4">
        <v>74350.597500000003</v>
      </c>
      <c r="C79" s="4">
        <v>12921.900299999999</v>
      </c>
      <c r="D79" s="4">
        <v>9632.4541000000008</v>
      </c>
      <c r="E79" s="4">
        <v>3289.4463000000001</v>
      </c>
      <c r="F79" s="5">
        <v>9739.1306999999997</v>
      </c>
      <c r="G79" s="4">
        <v>3758.7451999999998</v>
      </c>
      <c r="H79" s="4">
        <v>5980.3855000000003</v>
      </c>
      <c r="I79" s="5">
        <v>8885.2378000000008</v>
      </c>
      <c r="J79" s="4">
        <v>797.81219999999996</v>
      </c>
      <c r="K79" s="4">
        <v>8087.4255999999996</v>
      </c>
      <c r="L79" s="4">
        <v>20969.0586</v>
      </c>
      <c r="M79" s="4">
        <v>18387.4349</v>
      </c>
      <c r="N79" s="4">
        <v>2581.6237000000001</v>
      </c>
      <c r="O79" s="4">
        <v>0</v>
      </c>
      <c r="P79" s="4">
        <v>32.052599999999998</v>
      </c>
      <c r="Q79" s="4">
        <v>32.052599999999998</v>
      </c>
      <c r="R79" s="4">
        <v>21803.217499999999</v>
      </c>
      <c r="S79" s="4">
        <v>-23474.247500000001</v>
      </c>
      <c r="T79" s="4">
        <v>97824.845000000001</v>
      </c>
      <c r="U79" s="4">
        <v>0</v>
      </c>
      <c r="V79" s="4">
        <v>0</v>
      </c>
      <c r="W79" s="4">
        <v>80221.842300000004</v>
      </c>
      <c r="X79" s="4">
        <v>3302.1232</v>
      </c>
      <c r="Y79" s="4">
        <v>76919.719100000002</v>
      </c>
      <c r="Z79" s="4">
        <v>2029.9535000000001</v>
      </c>
      <c r="AA79" s="4">
        <v>5.7697000000000003</v>
      </c>
      <c r="AB79" s="4">
        <v>2024.1838</v>
      </c>
      <c r="AC79" s="4">
        <v>15573.049199999999</v>
      </c>
      <c r="AD79" s="4">
        <v>7885.6231426910099</v>
      </c>
      <c r="AE79" s="4">
        <v>1994.18908823637</v>
      </c>
      <c r="AF79" s="4">
        <v>5891.4340544546403</v>
      </c>
      <c r="AG79" s="4">
        <v>-1855.37308074307</v>
      </c>
      <c r="AH79" s="4">
        <v>-1883.6205991925899</v>
      </c>
      <c r="AI79" s="4">
        <v>28.2475184495257</v>
      </c>
    </row>
    <row r="80" spans="1:35" x14ac:dyDescent="0.2">
      <c r="A80" s="3">
        <v>44531</v>
      </c>
      <c r="B80" s="4">
        <v>71963.705300000001</v>
      </c>
      <c r="C80" s="4">
        <v>10146.2852</v>
      </c>
      <c r="D80" s="4">
        <v>8941.3896999999997</v>
      </c>
      <c r="E80" s="4">
        <v>1204.8955000000001</v>
      </c>
      <c r="F80" s="5">
        <v>10048.828600000001</v>
      </c>
      <c r="G80" s="4">
        <v>3668.3690000000001</v>
      </c>
      <c r="H80" s="4">
        <v>6380.4596000000001</v>
      </c>
      <c r="I80" s="5">
        <v>8926.8978999999999</v>
      </c>
      <c r="J80" s="4">
        <v>834.89260000000002</v>
      </c>
      <c r="K80" s="4">
        <v>8092.0054</v>
      </c>
      <c r="L80" s="4">
        <v>22908.870299999999</v>
      </c>
      <c r="M80" s="4">
        <v>20421.210500000001</v>
      </c>
      <c r="N80" s="4">
        <v>2487.6599000000001</v>
      </c>
      <c r="O80" s="4">
        <v>0</v>
      </c>
      <c r="P80" s="4">
        <v>35.120600000000003</v>
      </c>
      <c r="Q80" s="4">
        <v>35.120600000000003</v>
      </c>
      <c r="R80" s="4">
        <v>19897.702700000002</v>
      </c>
      <c r="S80" s="4">
        <v>-29231.725200000001</v>
      </c>
      <c r="T80" s="4">
        <v>101195.4305</v>
      </c>
      <c r="U80" s="4">
        <v>0</v>
      </c>
      <c r="V80" s="4">
        <v>0</v>
      </c>
      <c r="W80" s="4">
        <v>84531.655700000003</v>
      </c>
      <c r="X80" s="4">
        <v>2703.0983999999999</v>
      </c>
      <c r="Y80" s="4">
        <v>81828.5573</v>
      </c>
      <c r="Z80" s="4">
        <v>2687.3553999999999</v>
      </c>
      <c r="AA80" s="4">
        <v>6.2752999999999997</v>
      </c>
      <c r="AB80" s="4">
        <v>2681.0801000000001</v>
      </c>
      <c r="AC80" s="4">
        <v>13976.4195</v>
      </c>
      <c r="AD80" s="4">
        <v>8443.0886259178296</v>
      </c>
      <c r="AE80" s="4">
        <v>2089.2319237298002</v>
      </c>
      <c r="AF80" s="4">
        <v>6353.8567021880299</v>
      </c>
      <c r="AG80" s="4">
        <v>33.455854727690898</v>
      </c>
      <c r="AH80" s="4">
        <v>2.50132984173203</v>
      </c>
      <c r="AI80" s="4">
        <v>30.954524885958801</v>
      </c>
    </row>
    <row r="81" spans="1:35" x14ac:dyDescent="0.2">
      <c r="A81" s="3">
        <v>44621</v>
      </c>
      <c r="B81" s="4">
        <v>70463.858099999998</v>
      </c>
      <c r="C81" s="4">
        <v>10254.8734</v>
      </c>
      <c r="D81" s="4">
        <v>8836.9884999999995</v>
      </c>
      <c r="E81" s="4">
        <v>1417.8849</v>
      </c>
      <c r="F81" s="5">
        <v>13332.472100000001</v>
      </c>
      <c r="G81" s="4">
        <v>4780.2021999999997</v>
      </c>
      <c r="H81" s="4">
        <v>8552.2698999999993</v>
      </c>
      <c r="I81" s="5">
        <v>9136.9403999999995</v>
      </c>
      <c r="J81" s="4">
        <v>791.21529999999996</v>
      </c>
      <c r="K81" s="4">
        <v>8345.7250999999997</v>
      </c>
      <c r="L81" s="4">
        <v>18036.614000000001</v>
      </c>
      <c r="M81" s="4">
        <v>15790.979300000001</v>
      </c>
      <c r="N81" s="4">
        <v>2245.6347000000001</v>
      </c>
      <c r="O81" s="4">
        <v>0</v>
      </c>
      <c r="P81" s="4">
        <v>37.095700000000001</v>
      </c>
      <c r="Q81" s="4">
        <v>37.095700000000001</v>
      </c>
      <c r="R81" s="4">
        <v>19665.862499999999</v>
      </c>
      <c r="S81" s="4">
        <v>-28217.8891</v>
      </c>
      <c r="T81" s="4">
        <v>98681.747199999998</v>
      </c>
      <c r="U81" s="4">
        <v>0</v>
      </c>
      <c r="V81" s="4">
        <v>0</v>
      </c>
      <c r="W81" s="4">
        <v>83998.889800000004</v>
      </c>
      <c r="X81" s="4">
        <v>2120.0482000000002</v>
      </c>
      <c r="Y81" s="4">
        <v>81878.8416</v>
      </c>
      <c r="Z81" s="4">
        <v>2567.0943000000002</v>
      </c>
      <c r="AA81" s="4">
        <v>5.9809000000000001</v>
      </c>
      <c r="AB81" s="4">
        <v>2561.1134000000002</v>
      </c>
      <c r="AC81" s="4">
        <v>12115.7631</v>
      </c>
      <c r="AD81" s="4">
        <v>11970.486693426499</v>
      </c>
      <c r="AE81" s="4">
        <v>6413.5779030265303</v>
      </c>
      <c r="AF81" s="4">
        <v>5556.9087903999998</v>
      </c>
      <c r="AG81" s="4">
        <v>4888.0061550547498</v>
      </c>
      <c r="AH81" s="4">
        <v>4858.2139009453504</v>
      </c>
      <c r="AI81" s="4">
        <v>29.792254109407398</v>
      </c>
    </row>
    <row r="82" spans="1:35" x14ac:dyDescent="0.2">
      <c r="A82" s="3">
        <v>44713</v>
      </c>
      <c r="B82" s="4">
        <v>87884.405700000003</v>
      </c>
      <c r="C82" s="4">
        <v>13924.5599</v>
      </c>
      <c r="D82" s="4">
        <v>9659.8048999999992</v>
      </c>
      <c r="E82" s="4">
        <v>4264.7548999999999</v>
      </c>
      <c r="F82" s="5">
        <v>19317.444500000001</v>
      </c>
      <c r="G82" s="4">
        <v>9567.4277999999995</v>
      </c>
      <c r="H82" s="4">
        <v>9750.0166000000008</v>
      </c>
      <c r="I82" s="5">
        <v>9754.7116999999998</v>
      </c>
      <c r="J82" s="4">
        <v>1455.2454</v>
      </c>
      <c r="K82" s="4">
        <v>8299.4663999999993</v>
      </c>
      <c r="L82" s="4">
        <v>24049.445500000002</v>
      </c>
      <c r="M82" s="4">
        <v>21514.443599999999</v>
      </c>
      <c r="N82" s="4">
        <v>2535.0019000000002</v>
      </c>
      <c r="O82" s="4">
        <v>0</v>
      </c>
      <c r="P82" s="4">
        <v>39.197000000000003</v>
      </c>
      <c r="Q82" s="4">
        <v>39.197000000000003</v>
      </c>
      <c r="R82" s="4">
        <v>20799.0471</v>
      </c>
      <c r="S82" s="4">
        <v>-16822.603800000001</v>
      </c>
      <c r="T82" s="4">
        <v>104707.0094</v>
      </c>
      <c r="U82" s="4">
        <v>0</v>
      </c>
      <c r="V82" s="4">
        <v>0</v>
      </c>
      <c r="W82" s="4">
        <v>89301.338000000003</v>
      </c>
      <c r="X82" s="4">
        <v>2516.6255999999998</v>
      </c>
      <c r="Y82" s="4">
        <v>86784.712400000004</v>
      </c>
      <c r="Z82" s="4">
        <v>2874.8251</v>
      </c>
      <c r="AA82" s="4">
        <v>8.7014999999999993</v>
      </c>
      <c r="AB82" s="4">
        <v>2866.1235999999999</v>
      </c>
      <c r="AC82" s="4">
        <v>12530.846299999999</v>
      </c>
      <c r="AD82" s="4">
        <v>13248.2521657827</v>
      </c>
      <c r="AE82" s="4">
        <v>7002.1250504827203</v>
      </c>
      <c r="AF82" s="4">
        <v>6246.1271152999998</v>
      </c>
      <c r="AG82" s="4">
        <v>489.01002361679201</v>
      </c>
      <c r="AH82" s="4">
        <v>9.3122281534347007</v>
      </c>
      <c r="AI82" s="4">
        <v>479.69779546335798</v>
      </c>
    </row>
    <row r="83" spans="1:35" x14ac:dyDescent="0.2">
      <c r="A83" s="3">
        <v>44805</v>
      </c>
      <c r="B83" s="4">
        <v>87088.884000000005</v>
      </c>
      <c r="C83" s="4">
        <v>13004.7399</v>
      </c>
      <c r="D83" s="4">
        <v>10899.157800000001</v>
      </c>
      <c r="E83" s="4">
        <v>2105.5821000000001</v>
      </c>
      <c r="F83" s="5">
        <v>18639.595799999999</v>
      </c>
      <c r="G83" s="4">
        <v>8768.7135999999991</v>
      </c>
      <c r="H83" s="4">
        <v>9870.8822</v>
      </c>
      <c r="I83" s="5">
        <v>8812.0982000000004</v>
      </c>
      <c r="J83" s="4">
        <v>568.37909999999999</v>
      </c>
      <c r="K83" s="4">
        <v>8243.7191000000003</v>
      </c>
      <c r="L83" s="4">
        <v>23914.092100000002</v>
      </c>
      <c r="M83" s="4">
        <v>20978.994500000001</v>
      </c>
      <c r="N83" s="4">
        <v>2935.0974999999999</v>
      </c>
      <c r="O83" s="4">
        <v>0</v>
      </c>
      <c r="P83" s="4">
        <v>41.674999999999997</v>
      </c>
      <c r="Q83" s="4">
        <v>41.674999999999997</v>
      </c>
      <c r="R83" s="4">
        <v>22676.683000000001</v>
      </c>
      <c r="S83" s="4">
        <v>-15222.2952</v>
      </c>
      <c r="T83" s="4">
        <v>102311.1792</v>
      </c>
      <c r="U83" s="4">
        <v>0</v>
      </c>
      <c r="V83" s="4">
        <v>0</v>
      </c>
      <c r="W83" s="4">
        <v>86112.283599999995</v>
      </c>
      <c r="X83" s="4">
        <v>1949.0391999999999</v>
      </c>
      <c r="Y83" s="4">
        <v>84163.244300000006</v>
      </c>
      <c r="Z83" s="4">
        <v>3000.2723000000001</v>
      </c>
      <c r="AA83" s="4">
        <v>6.1623999999999999</v>
      </c>
      <c r="AB83" s="4">
        <v>2994.1098999999999</v>
      </c>
      <c r="AC83" s="4">
        <v>13198.623299999999</v>
      </c>
      <c r="AD83" s="4">
        <v>13053.841046182</v>
      </c>
      <c r="AE83" s="4">
        <v>6933.2360661820203</v>
      </c>
      <c r="AF83" s="4">
        <v>6120.6049800000001</v>
      </c>
      <c r="AG83" s="4">
        <v>49.941589820964502</v>
      </c>
      <c r="AH83" s="4">
        <v>13.214949917497201</v>
      </c>
      <c r="AI83" s="4">
        <v>36.726639903467301</v>
      </c>
    </row>
    <row r="84" spans="1:35" x14ac:dyDescent="0.2">
      <c r="A84" s="3">
        <v>44896</v>
      </c>
      <c r="B84" s="4">
        <v>78101.560200000007</v>
      </c>
      <c r="C84" s="4">
        <v>14688.4421</v>
      </c>
      <c r="D84" s="4">
        <v>12597.1468</v>
      </c>
      <c r="E84" s="4">
        <v>2091.2953000000002</v>
      </c>
      <c r="F84" s="5">
        <v>13757.060799999999</v>
      </c>
      <c r="G84" s="4">
        <v>4330.9107999999997</v>
      </c>
      <c r="H84" s="4">
        <v>9426.1501000000007</v>
      </c>
      <c r="I84" s="5">
        <v>8766.5935000000009</v>
      </c>
      <c r="J84" s="4">
        <v>584.17460000000005</v>
      </c>
      <c r="K84" s="4">
        <v>8182.4188999999997</v>
      </c>
      <c r="L84" s="4">
        <v>18441.620599999998</v>
      </c>
      <c r="M84" s="4">
        <v>16628.244699999999</v>
      </c>
      <c r="N84" s="4">
        <v>1813.3759</v>
      </c>
      <c r="O84" s="4">
        <v>0</v>
      </c>
      <c r="P84" s="4">
        <v>43.123199999999997</v>
      </c>
      <c r="Q84" s="4">
        <v>43.123199999999997</v>
      </c>
      <c r="R84" s="4">
        <v>22404.7199</v>
      </c>
      <c r="S84" s="4">
        <v>-30372.542099999999</v>
      </c>
      <c r="T84" s="4">
        <v>108474.10219999999</v>
      </c>
      <c r="U84" s="4">
        <v>0</v>
      </c>
      <c r="V84" s="4">
        <v>0</v>
      </c>
      <c r="W84" s="4">
        <v>91988.471099999995</v>
      </c>
      <c r="X84" s="4">
        <v>1978.9455</v>
      </c>
      <c r="Y84" s="4">
        <v>90009.525599999994</v>
      </c>
      <c r="Z84" s="4">
        <v>2937.7453</v>
      </c>
      <c r="AA84" s="4">
        <v>6.3292999999999999</v>
      </c>
      <c r="AB84" s="4">
        <v>2931.4160000000002</v>
      </c>
      <c r="AC84" s="4">
        <v>13547.8858</v>
      </c>
      <c r="AD84" s="4">
        <v>12024.0829417818</v>
      </c>
      <c r="AE84" s="4">
        <v>6458.5150289818002</v>
      </c>
      <c r="AF84" s="4">
        <v>5565.5679128000002</v>
      </c>
      <c r="AG84" s="4">
        <v>-189.23968734218499</v>
      </c>
      <c r="AH84" s="4">
        <v>19.2978130900633</v>
      </c>
      <c r="AI84" s="4">
        <v>-208.537500432249</v>
      </c>
    </row>
    <row r="85" spans="1:35" x14ac:dyDescent="0.2">
      <c r="A85" s="3">
        <v>44986</v>
      </c>
      <c r="B85" s="4">
        <v>76266.595499999996</v>
      </c>
      <c r="C85" s="4">
        <v>14536.582</v>
      </c>
      <c r="D85" s="4">
        <v>12880.666300000001</v>
      </c>
      <c r="E85" s="4">
        <v>1655.9157</v>
      </c>
      <c r="F85" s="5">
        <v>11808.7727</v>
      </c>
      <c r="G85" s="4">
        <v>2957.5758000000001</v>
      </c>
      <c r="H85" s="4">
        <v>8851.1967999999997</v>
      </c>
      <c r="I85" s="5">
        <v>8762.8960999999999</v>
      </c>
      <c r="J85" s="4">
        <v>187.10830000000001</v>
      </c>
      <c r="K85" s="4">
        <v>8575.7878000000001</v>
      </c>
      <c r="L85" s="4">
        <v>15642.7073</v>
      </c>
      <c r="M85" s="4">
        <v>13706.043100000001</v>
      </c>
      <c r="N85" s="4">
        <v>1936.6641999999999</v>
      </c>
      <c r="O85" s="4">
        <v>0</v>
      </c>
      <c r="P85" s="4">
        <v>42.771000000000001</v>
      </c>
      <c r="Q85" s="4">
        <v>42.771000000000001</v>
      </c>
      <c r="R85" s="4">
        <v>25472.8662</v>
      </c>
      <c r="S85" s="4">
        <v>-31519.4329</v>
      </c>
      <c r="T85" s="4">
        <v>107786.02830000001</v>
      </c>
      <c r="U85" s="4">
        <v>0</v>
      </c>
      <c r="V85" s="4">
        <v>0</v>
      </c>
      <c r="W85" s="4">
        <v>90791.525500000003</v>
      </c>
      <c r="X85" s="4">
        <v>4972.4215999999997</v>
      </c>
      <c r="Y85" s="4">
        <v>85819.103900000002</v>
      </c>
      <c r="Z85" s="4">
        <v>2735.1966000000002</v>
      </c>
      <c r="AA85" s="4">
        <v>7.0397999999999996</v>
      </c>
      <c r="AB85" s="4">
        <v>2728.1568000000002</v>
      </c>
      <c r="AC85" s="4">
        <v>14259.306200000001</v>
      </c>
      <c r="AD85" s="4">
        <v>11419.305556400001</v>
      </c>
      <c r="AE85" s="4">
        <v>6078.3086308000002</v>
      </c>
      <c r="AF85" s="4">
        <v>5340.9969256000004</v>
      </c>
      <c r="AG85" s="4">
        <v>54.250703584906198</v>
      </c>
      <c r="AH85" s="4">
        <v>20.544387981552099</v>
      </c>
      <c r="AI85" s="4">
        <v>33.706315603354</v>
      </c>
    </row>
    <row r="86" spans="1:35" x14ac:dyDescent="0.2">
      <c r="A86" s="3">
        <v>45078</v>
      </c>
      <c r="B86" s="4">
        <v>78656.355200000005</v>
      </c>
      <c r="C86" s="4">
        <v>16119.947099999999</v>
      </c>
      <c r="D86" s="4">
        <v>13644.411400000001</v>
      </c>
      <c r="E86" s="4">
        <v>2475.5356999999999</v>
      </c>
      <c r="F86" s="5">
        <v>11397.911899999999</v>
      </c>
      <c r="G86" s="4">
        <v>3205.6495</v>
      </c>
      <c r="H86" s="4">
        <v>8192.2623000000003</v>
      </c>
      <c r="I86" s="5">
        <v>9044.4460999999992</v>
      </c>
      <c r="J86" s="4">
        <v>540.82169999999996</v>
      </c>
      <c r="K86" s="4">
        <v>8503.6244000000006</v>
      </c>
      <c r="L86" s="4">
        <v>15852.2318</v>
      </c>
      <c r="M86" s="4">
        <v>13414.964900000001</v>
      </c>
      <c r="N86" s="4">
        <v>2437.2669000000001</v>
      </c>
      <c r="O86" s="4">
        <v>0</v>
      </c>
      <c r="P86" s="4">
        <v>42.3508</v>
      </c>
      <c r="Q86" s="4">
        <v>42.3508</v>
      </c>
      <c r="R86" s="4">
        <v>26199.4676</v>
      </c>
      <c r="S86" s="4">
        <v>-33254.679799999998</v>
      </c>
      <c r="T86" s="4">
        <v>111911.035</v>
      </c>
      <c r="U86" s="4">
        <v>0</v>
      </c>
      <c r="V86" s="4">
        <v>0</v>
      </c>
      <c r="W86" s="4">
        <v>94223.969200000007</v>
      </c>
      <c r="X86" s="4">
        <v>4099.9772000000003</v>
      </c>
      <c r="Y86" s="4">
        <v>90123.991999999998</v>
      </c>
      <c r="Z86" s="4">
        <v>3054.8334</v>
      </c>
      <c r="AA86" s="4">
        <v>7.4348000000000001</v>
      </c>
      <c r="AB86" s="4">
        <v>3047.3987000000002</v>
      </c>
      <c r="AC86" s="4">
        <v>14632.2323</v>
      </c>
      <c r="AD86" s="4">
        <v>11576.628219599999</v>
      </c>
      <c r="AE86" s="4">
        <v>4761.9793680000002</v>
      </c>
      <c r="AF86" s="4">
        <v>6814.6488515999999</v>
      </c>
      <c r="AG86" s="4">
        <v>60.571015741169496</v>
      </c>
      <c r="AH86" s="4">
        <v>-1289.2608765346199</v>
      </c>
      <c r="AI86" s="4">
        <v>1349.8318922757901</v>
      </c>
    </row>
    <row r="87" spans="1:35" x14ac:dyDescent="0.2">
      <c r="A87" s="3">
        <v>45170</v>
      </c>
      <c r="B87" s="4">
        <v>83340.9859</v>
      </c>
      <c r="C87" s="4">
        <v>15209.078</v>
      </c>
      <c r="D87" s="4">
        <v>13743.206</v>
      </c>
      <c r="E87" s="4">
        <v>1465.8721</v>
      </c>
      <c r="F87" s="5">
        <v>11906.923500000001</v>
      </c>
      <c r="G87" s="4">
        <v>2417.4045999999998</v>
      </c>
      <c r="H87" s="4">
        <v>9489.5188999999991</v>
      </c>
      <c r="I87" s="5">
        <v>9505.6005999999998</v>
      </c>
      <c r="J87" s="4">
        <v>899.57619999999997</v>
      </c>
      <c r="K87" s="4">
        <v>8606.0244000000002</v>
      </c>
      <c r="L87" s="4">
        <v>19208.122500000001</v>
      </c>
      <c r="M87" s="4">
        <v>16596.997500000001</v>
      </c>
      <c r="N87" s="4">
        <v>2611.125</v>
      </c>
      <c r="O87" s="4">
        <v>0</v>
      </c>
      <c r="P87" s="4">
        <v>43.594200000000001</v>
      </c>
      <c r="Q87" s="4">
        <v>43.594200000000001</v>
      </c>
      <c r="R87" s="4">
        <v>27467.667000000001</v>
      </c>
      <c r="S87" s="4">
        <v>-28933.3904</v>
      </c>
      <c r="T87" s="4">
        <v>112274.3763</v>
      </c>
      <c r="U87" s="4">
        <v>0</v>
      </c>
      <c r="V87" s="4">
        <v>0</v>
      </c>
      <c r="W87" s="4">
        <v>93901.705900000001</v>
      </c>
      <c r="X87" s="4">
        <v>1666.0616</v>
      </c>
      <c r="Y87" s="4">
        <v>92235.6443</v>
      </c>
      <c r="Z87" s="4">
        <v>3384.4841000000001</v>
      </c>
      <c r="AA87" s="4">
        <v>16.635999999999999</v>
      </c>
      <c r="AB87" s="4">
        <v>3367.8481000000002</v>
      </c>
      <c r="AC87" s="4">
        <v>14988.186299999999</v>
      </c>
      <c r="AD87" s="4">
        <v>12637.812924</v>
      </c>
      <c r="AE87" s="4">
        <v>5205.3613524000002</v>
      </c>
      <c r="AF87" s="4">
        <v>7432.4515715999996</v>
      </c>
      <c r="AG87" s="4">
        <v>69.732626927487303</v>
      </c>
      <c r="AH87" s="4">
        <v>23.885441435615601</v>
      </c>
      <c r="AI87" s="4">
        <v>45.847185491871798</v>
      </c>
    </row>
    <row r="88" spans="1:35" x14ac:dyDescent="0.2">
      <c r="A88" s="3">
        <v>45261</v>
      </c>
      <c r="B88" s="4">
        <v>82053.286600000007</v>
      </c>
      <c r="C88" s="4">
        <v>14177.417299999999</v>
      </c>
      <c r="D88" s="4">
        <v>12589.4578</v>
      </c>
      <c r="E88" s="4">
        <v>1587.9594999999999</v>
      </c>
      <c r="F88" s="5">
        <v>11599.413</v>
      </c>
      <c r="G88" s="4">
        <v>545.85969999999998</v>
      </c>
      <c r="H88" s="4">
        <v>11053.5533</v>
      </c>
      <c r="I88" s="5">
        <v>10291.6446</v>
      </c>
      <c r="J88" s="4">
        <v>987.4511</v>
      </c>
      <c r="K88" s="4">
        <v>9304.1934999999994</v>
      </c>
      <c r="L88" s="4">
        <v>18064.615900000001</v>
      </c>
      <c r="M88" s="4">
        <v>15558.1407</v>
      </c>
      <c r="N88" s="4">
        <v>2506.4751999999999</v>
      </c>
      <c r="O88" s="4">
        <v>0</v>
      </c>
      <c r="P88" s="4">
        <v>43.982799999999997</v>
      </c>
      <c r="Q88" s="4">
        <v>43.982799999999997</v>
      </c>
      <c r="R88" s="4">
        <v>27876.212899999999</v>
      </c>
      <c r="S88" s="4">
        <v>-39569.2094</v>
      </c>
      <c r="T88" s="4">
        <v>121622.496</v>
      </c>
      <c r="U88" s="4">
        <v>0</v>
      </c>
      <c r="V88" s="4">
        <v>0</v>
      </c>
      <c r="W88" s="4">
        <v>102808.63099999999</v>
      </c>
      <c r="X88" s="4">
        <v>1697.6153999999999</v>
      </c>
      <c r="Y88" s="4">
        <v>101111.0156</v>
      </c>
      <c r="Z88" s="4">
        <v>3315.0255999999999</v>
      </c>
      <c r="AA88" s="4">
        <v>17.449300000000001</v>
      </c>
      <c r="AB88" s="4">
        <v>3297.5763000000002</v>
      </c>
      <c r="AC88" s="4">
        <v>15498.839400000001</v>
      </c>
      <c r="AD88" s="4">
        <v>12975.7587953</v>
      </c>
      <c r="AE88" s="4">
        <v>5334.1750049000002</v>
      </c>
      <c r="AF88" s="4">
        <v>7641.5837904</v>
      </c>
      <c r="AG88" s="4">
        <v>-185.185384999093</v>
      </c>
      <c r="AH88" s="4">
        <v>34.026159914388003</v>
      </c>
      <c r="AI88" s="4">
        <v>-219.21154491348099</v>
      </c>
    </row>
    <row r="89" spans="1:35" x14ac:dyDescent="0.2">
      <c r="A89" s="3">
        <v>45352</v>
      </c>
      <c r="B89" s="4">
        <v>89095.780299999999</v>
      </c>
      <c r="C89" s="4">
        <v>15580.8644</v>
      </c>
      <c r="D89" s="4">
        <v>13773.137500000001</v>
      </c>
      <c r="E89" s="4">
        <v>1807.7268999999999</v>
      </c>
      <c r="F89" s="5">
        <v>11886.878699999999</v>
      </c>
      <c r="G89" s="4">
        <v>618.64790000000005</v>
      </c>
      <c r="H89" s="4">
        <v>11268.230799999999</v>
      </c>
      <c r="I89" s="5">
        <v>11072.2963</v>
      </c>
      <c r="J89" s="4">
        <v>1045.7039</v>
      </c>
      <c r="K89" s="4">
        <v>10026.592500000001</v>
      </c>
      <c r="L89" s="4">
        <v>20529.718499999999</v>
      </c>
      <c r="M89" s="4">
        <v>17339.5062</v>
      </c>
      <c r="N89" s="4">
        <v>3190.2123000000001</v>
      </c>
      <c r="O89" s="4">
        <v>0</v>
      </c>
      <c r="P89" s="4">
        <v>44.802900000000001</v>
      </c>
      <c r="Q89" s="4">
        <v>44.802900000000001</v>
      </c>
      <c r="R89" s="4">
        <v>29981.219499999999</v>
      </c>
      <c r="S89" s="4">
        <v>-39737.084000000003</v>
      </c>
      <c r="T89" s="4">
        <v>128832.8643</v>
      </c>
      <c r="U89" s="4">
        <v>0</v>
      </c>
      <c r="V89" s="4">
        <v>0</v>
      </c>
      <c r="W89" s="4">
        <v>108638.89350000001</v>
      </c>
      <c r="X89" s="4">
        <v>4114.9753000000001</v>
      </c>
      <c r="Y89" s="4">
        <v>104523.9182</v>
      </c>
      <c r="Z89" s="4">
        <v>3575.1795000000002</v>
      </c>
      <c r="AA89" s="4">
        <v>10.811299999999999</v>
      </c>
      <c r="AB89" s="4">
        <v>3564.3681000000001</v>
      </c>
      <c r="AC89" s="4">
        <v>16618.791300000001</v>
      </c>
      <c r="AD89" s="4">
        <v>13670.5348374</v>
      </c>
      <c r="AE89" s="4">
        <v>5053.4314866000004</v>
      </c>
      <c r="AF89" s="4">
        <v>8617.1033508</v>
      </c>
      <c r="AG89" s="4">
        <v>-668.494773495961</v>
      </c>
      <c r="AH89" s="4">
        <v>-719.96219713367998</v>
      </c>
      <c r="AI89" s="4">
        <v>51.467423637718497</v>
      </c>
    </row>
    <row r="90" spans="1:35" x14ac:dyDescent="0.2">
      <c r="A90" s="3">
        <v>45444</v>
      </c>
      <c r="B90" s="4">
        <v>90777.202600000004</v>
      </c>
      <c r="C90" s="4">
        <v>15962.136</v>
      </c>
      <c r="D90" s="4">
        <v>14006.725700000001</v>
      </c>
      <c r="E90" s="4">
        <v>1955.4103</v>
      </c>
      <c r="F90" s="5">
        <v>11212.0527</v>
      </c>
      <c r="G90" s="4">
        <v>448.60950000000003</v>
      </c>
      <c r="H90" s="4">
        <v>10763.4432</v>
      </c>
      <c r="I90" s="5">
        <v>11180.6906</v>
      </c>
      <c r="J90" s="4">
        <v>1163.2308</v>
      </c>
      <c r="K90" s="4">
        <v>10017.459800000001</v>
      </c>
      <c r="L90" s="4">
        <v>19571.679899999999</v>
      </c>
      <c r="M90" s="4">
        <v>16505.141199999998</v>
      </c>
      <c r="N90" s="4">
        <v>3066.5385999999999</v>
      </c>
      <c r="O90" s="4">
        <v>0</v>
      </c>
      <c r="P90" s="4">
        <v>44.173499999999997</v>
      </c>
      <c r="Q90" s="4">
        <v>44.173499999999997</v>
      </c>
      <c r="R90" s="4">
        <v>32806.47</v>
      </c>
      <c r="S90" s="4">
        <v>-39442.409200000002</v>
      </c>
      <c r="T90" s="4">
        <v>130219.6119</v>
      </c>
      <c r="U90" s="4">
        <v>0</v>
      </c>
      <c r="V90" s="4">
        <v>0</v>
      </c>
      <c r="W90" s="4">
        <v>107739.51179999999</v>
      </c>
      <c r="X90" s="4">
        <v>4184.1710999999996</v>
      </c>
      <c r="Y90" s="4">
        <v>103555.3407</v>
      </c>
      <c r="Z90" s="4">
        <v>3499.1714000000002</v>
      </c>
      <c r="AA90" s="4">
        <v>10.897500000000001</v>
      </c>
      <c r="AB90" s="4">
        <v>3488.2739000000001</v>
      </c>
      <c r="AC90" s="4">
        <v>18980.9287</v>
      </c>
      <c r="AD90" s="4">
        <v>12961.594233</v>
      </c>
      <c r="AE90" s="4">
        <v>4297.8686043999996</v>
      </c>
      <c r="AF90" s="4">
        <v>8663.7256285999993</v>
      </c>
      <c r="AG90" s="4">
        <v>-191.21565380152299</v>
      </c>
      <c r="AH90" s="4">
        <v>-532.83820941023703</v>
      </c>
      <c r="AI90" s="4">
        <v>341.62255560871398</v>
      </c>
    </row>
    <row r="91" spans="1:35" x14ac:dyDescent="0.2">
      <c r="A91" s="3">
        <v>45536</v>
      </c>
      <c r="B91" s="4">
        <v>93016.4948</v>
      </c>
      <c r="C91" s="4">
        <v>16076.641100000001</v>
      </c>
      <c r="D91" s="4">
        <v>13785.204100000001</v>
      </c>
      <c r="E91" s="4">
        <v>2291.4369000000002</v>
      </c>
      <c r="F91" s="5">
        <v>12193.3897</v>
      </c>
      <c r="G91" s="4">
        <v>1585.5195000000001</v>
      </c>
      <c r="H91" s="4">
        <v>10607.870199999999</v>
      </c>
      <c r="I91" s="5">
        <v>11262.8287</v>
      </c>
      <c r="J91" s="4">
        <v>1151.6365000000001</v>
      </c>
      <c r="K91" s="4">
        <v>10111.192300000001</v>
      </c>
      <c r="L91" s="4">
        <v>19623.640100000001</v>
      </c>
      <c r="M91" s="4">
        <v>16180.554099999999</v>
      </c>
      <c r="N91" s="4">
        <v>3443.0859999999998</v>
      </c>
      <c r="O91" s="4">
        <v>0</v>
      </c>
      <c r="P91" s="4">
        <v>44.9938</v>
      </c>
      <c r="Q91" s="4">
        <v>44.9938</v>
      </c>
      <c r="R91" s="4">
        <v>33815.001400000001</v>
      </c>
      <c r="S91" s="4">
        <v>-50240.5936</v>
      </c>
      <c r="T91" s="4">
        <v>143257.08840000001</v>
      </c>
      <c r="U91" s="4">
        <v>0</v>
      </c>
      <c r="V91" s="4">
        <v>0</v>
      </c>
      <c r="W91" s="4">
        <v>121360.43829999999</v>
      </c>
      <c r="X91" s="4">
        <v>3377.7593000000002</v>
      </c>
      <c r="Y91" s="4">
        <v>117982.679</v>
      </c>
      <c r="Z91" s="4">
        <v>3381.7334999999998</v>
      </c>
      <c r="AA91" s="4">
        <v>8.0144000000000002</v>
      </c>
      <c r="AB91" s="4">
        <v>3373.7190999999998</v>
      </c>
      <c r="AC91" s="4">
        <v>18514.9166</v>
      </c>
      <c r="AD91" s="4">
        <v>12977.2249875</v>
      </c>
      <c r="AE91" s="4">
        <v>4268.4444000000003</v>
      </c>
      <c r="AF91" s="4">
        <v>8708.7805874999995</v>
      </c>
      <c r="AG91" s="4">
        <v>91.996843471521601</v>
      </c>
      <c r="AH91" s="4">
        <v>32.104856485820598</v>
      </c>
      <c r="AI91" s="4">
        <v>59.891986985701003</v>
      </c>
    </row>
    <row r="92" spans="1:35" x14ac:dyDescent="0.2">
      <c r="A92" s="3">
        <v>45627</v>
      </c>
      <c r="B92" s="4">
        <v>96831.546799999996</v>
      </c>
      <c r="C92" s="4">
        <v>15625.034799999999</v>
      </c>
      <c r="D92" s="4">
        <v>13884.9709</v>
      </c>
      <c r="E92" s="4">
        <v>1740.0639000000001</v>
      </c>
      <c r="F92" s="5">
        <v>10776.1464</v>
      </c>
      <c r="G92" s="4">
        <v>252.3929</v>
      </c>
      <c r="H92" s="4">
        <v>10523.753500000001</v>
      </c>
      <c r="I92" s="5">
        <v>11387.5841</v>
      </c>
      <c r="J92" s="4">
        <v>973.84590000000003</v>
      </c>
      <c r="K92" s="4">
        <v>10413.7382</v>
      </c>
      <c r="L92" s="4">
        <v>22288.317200000001</v>
      </c>
      <c r="M92" s="4">
        <v>19107.861700000001</v>
      </c>
      <c r="N92" s="4">
        <v>3180.4555</v>
      </c>
      <c r="O92" s="4">
        <v>0</v>
      </c>
      <c r="P92" s="4">
        <v>46.311599999999999</v>
      </c>
      <c r="Q92" s="4">
        <v>46.311599999999999</v>
      </c>
      <c r="R92" s="4">
        <v>36708.152600000001</v>
      </c>
      <c r="S92" s="4">
        <v>-45995.332999999999</v>
      </c>
      <c r="T92" s="4">
        <v>142826.8798</v>
      </c>
      <c r="U92" s="4">
        <v>0</v>
      </c>
      <c r="V92" s="4">
        <v>0</v>
      </c>
      <c r="W92" s="4">
        <v>118052.6151</v>
      </c>
      <c r="X92" s="4">
        <v>0</v>
      </c>
      <c r="Y92" s="4">
        <v>118052.6151</v>
      </c>
      <c r="Z92" s="4">
        <v>3836.2336</v>
      </c>
      <c r="AA92" s="4">
        <v>7.6321000000000003</v>
      </c>
      <c r="AB92" s="4">
        <v>3828.6015000000002</v>
      </c>
      <c r="AC92" s="4">
        <v>20938.031200000001</v>
      </c>
      <c r="AD92" s="4">
        <v>12894.077658800001</v>
      </c>
      <c r="AE92" s="4">
        <v>3589.688584</v>
      </c>
      <c r="AF92" s="4">
        <v>9304.3890747999994</v>
      </c>
      <c r="AG92" s="4">
        <v>-877.89849585016702</v>
      </c>
      <c r="AH92" s="4">
        <v>-937.097163007934</v>
      </c>
      <c r="AI92" s="4">
        <v>59.198667157766799</v>
      </c>
    </row>
    <row r="93" spans="1:35" x14ac:dyDescent="0.2">
      <c r="A93" s="3">
        <v>45717</v>
      </c>
      <c r="B93" s="4">
        <v>100685.1171</v>
      </c>
      <c r="C93" s="4">
        <v>15688.395399999999</v>
      </c>
      <c r="D93" s="4">
        <v>13573.295700000001</v>
      </c>
      <c r="E93" s="4">
        <v>2115.0997000000002</v>
      </c>
      <c r="F93" s="5">
        <v>10628.465</v>
      </c>
      <c r="G93" s="4">
        <v>259.9633</v>
      </c>
      <c r="H93" s="4">
        <v>10368.501700000001</v>
      </c>
      <c r="I93" s="5">
        <v>12028.921700000001</v>
      </c>
      <c r="J93" s="4">
        <v>680.29549999999995</v>
      </c>
      <c r="K93" s="4">
        <v>11348.626200000001</v>
      </c>
      <c r="L93" s="4">
        <v>21073.058000000001</v>
      </c>
      <c r="M93" s="4">
        <v>18080.150099999999</v>
      </c>
      <c r="N93" s="4">
        <v>2992.9078</v>
      </c>
      <c r="O93" s="4">
        <v>0</v>
      </c>
      <c r="P93" s="4">
        <v>46.765799999999999</v>
      </c>
      <c r="Q93" s="4">
        <v>46.765799999999999</v>
      </c>
      <c r="R93" s="4">
        <v>41219.511299999998</v>
      </c>
      <c r="S93" s="4">
        <v>-46485.768799999998</v>
      </c>
      <c r="T93" s="4">
        <v>147170.886</v>
      </c>
      <c r="U93" s="4">
        <v>0</v>
      </c>
      <c r="V93" s="4">
        <v>0</v>
      </c>
      <c r="W93" s="4">
        <v>120768.1119</v>
      </c>
      <c r="X93" s="4">
        <v>3800.3782000000001</v>
      </c>
      <c r="Y93" s="4">
        <v>116967.7337</v>
      </c>
      <c r="Z93" s="4">
        <v>3681.9126000000001</v>
      </c>
      <c r="AA93" s="4">
        <v>7.4231999999999996</v>
      </c>
      <c r="AB93" s="4">
        <v>3674.4893999999999</v>
      </c>
      <c r="AC93" s="4">
        <v>22720.861499999999</v>
      </c>
      <c r="AD93" s="4">
        <v>12516.581326</v>
      </c>
      <c r="AE93" s="4">
        <v>3522.3586829999999</v>
      </c>
      <c r="AF93" s="4">
        <v>8994.2226429999992</v>
      </c>
      <c r="AG93" s="4">
        <v>88.571043596001701</v>
      </c>
      <c r="AH93" s="4">
        <v>24.345037859989201</v>
      </c>
      <c r="AI93" s="4">
        <v>64.226005736012496</v>
      </c>
    </row>
    <row r="94" spans="1:35" x14ac:dyDescent="0.2">
      <c r="A94" s="3">
        <v>45809</v>
      </c>
      <c r="B94" s="4">
        <v>105332.70510000001</v>
      </c>
      <c r="C94" s="4">
        <v>16737.588100000001</v>
      </c>
      <c r="D94" s="4">
        <v>14304.88</v>
      </c>
      <c r="E94" s="4">
        <v>2432.7080999999998</v>
      </c>
      <c r="F94" s="5">
        <v>11823.811</v>
      </c>
      <c r="G94" s="4">
        <v>1438.5161000000001</v>
      </c>
      <c r="H94" s="4">
        <v>10385.294900000001</v>
      </c>
      <c r="I94" s="5">
        <v>12763.424800000001</v>
      </c>
      <c r="J94" s="4">
        <v>1320.1886</v>
      </c>
      <c r="K94" s="4">
        <v>11443.236199999999</v>
      </c>
      <c r="L94" s="4">
        <v>22407.019199999999</v>
      </c>
      <c r="M94" s="4">
        <v>18702.338</v>
      </c>
      <c r="N94" s="4">
        <v>3704.6812</v>
      </c>
      <c r="O94" s="4">
        <v>0</v>
      </c>
      <c r="P94" s="4">
        <v>47.1477</v>
      </c>
      <c r="Q94" s="4">
        <v>47.1477</v>
      </c>
      <c r="R94" s="4">
        <v>41553.714399999997</v>
      </c>
      <c r="S94" s="4">
        <v>-48167.0985</v>
      </c>
      <c r="T94" s="4">
        <v>153499.80360000001</v>
      </c>
      <c r="U94" s="4">
        <v>0</v>
      </c>
      <c r="V94" s="4">
        <v>0</v>
      </c>
      <c r="W94" s="4">
        <v>127913.0763</v>
      </c>
      <c r="X94" s="4">
        <v>5499.0762000000004</v>
      </c>
      <c r="Y94" s="4">
        <v>122414.0001</v>
      </c>
      <c r="Z94" s="4">
        <v>3610.5895999999998</v>
      </c>
      <c r="AA94" s="4">
        <v>7.1134000000000004</v>
      </c>
      <c r="AB94" s="4">
        <v>3603.4762000000001</v>
      </c>
      <c r="AC94" s="4">
        <v>21976.137699999999</v>
      </c>
      <c r="AD94" s="4">
        <v>12767.161700799999</v>
      </c>
      <c r="AE94" s="4">
        <v>3597.8267259999998</v>
      </c>
      <c r="AF94" s="4">
        <v>9169.3349748000001</v>
      </c>
      <c r="AG94" s="4">
        <v>-220.38608115259899</v>
      </c>
      <c r="AH94" s="4">
        <v>25.487376836674201</v>
      </c>
      <c r="AI94" s="4">
        <v>-245.87345798927299</v>
      </c>
    </row>
    <row r="95" spans="1:35" x14ac:dyDescent="0.2">
      <c r="A95" s="3">
        <v>45901</v>
      </c>
      <c r="B95" s="4">
        <v>108917.16</v>
      </c>
      <c r="C95" s="4">
        <v>17727.667600000001</v>
      </c>
      <c r="D95" s="4">
        <v>15090.0913</v>
      </c>
      <c r="E95" s="4">
        <v>2637.5763000000002</v>
      </c>
      <c r="F95" s="5">
        <v>10644.873900000001</v>
      </c>
      <c r="G95" s="4">
        <v>645.44629999999995</v>
      </c>
      <c r="H95" s="4">
        <v>9999.4276000000009</v>
      </c>
      <c r="I95" s="5">
        <v>13278.7379</v>
      </c>
      <c r="J95" s="4">
        <v>1666.2999</v>
      </c>
      <c r="K95" s="4">
        <v>11612.437900000001</v>
      </c>
      <c r="L95" s="4">
        <v>24177.402399999999</v>
      </c>
      <c r="M95" s="4">
        <v>20020.2408</v>
      </c>
      <c r="N95" s="4">
        <v>4157.1616999999997</v>
      </c>
      <c r="O95" s="4">
        <v>0</v>
      </c>
      <c r="P95" s="4">
        <v>46.315800000000003</v>
      </c>
      <c r="Q95" s="4">
        <v>46.315800000000003</v>
      </c>
      <c r="R95" s="4">
        <v>43042.162400000001</v>
      </c>
      <c r="S95" s="4">
        <v>-51144.019200000002</v>
      </c>
      <c r="T95" s="4">
        <v>160061.17920000001</v>
      </c>
      <c r="U95" s="4">
        <v>0</v>
      </c>
      <c r="V95" s="4">
        <v>0</v>
      </c>
      <c r="W95" s="4">
        <v>133966.56330000001</v>
      </c>
      <c r="X95" s="4">
        <v>5086.8923000000004</v>
      </c>
      <c r="Y95" s="4">
        <v>128879.67110000001</v>
      </c>
      <c r="Z95" s="4">
        <v>3800.4101000000001</v>
      </c>
      <c r="AA95" s="4">
        <v>7.0025000000000004</v>
      </c>
      <c r="AB95" s="4">
        <v>3793.4076</v>
      </c>
      <c r="AC95" s="4">
        <v>22294.205699999999</v>
      </c>
      <c r="AD95" s="4">
        <v>13461.945114800001</v>
      </c>
      <c r="AE95" s="4">
        <v>3727.0927511999998</v>
      </c>
      <c r="AF95" s="4">
        <v>9734.8523636000009</v>
      </c>
      <c r="AG95" s="4">
        <v>89.535464644137093</v>
      </c>
      <c r="AH95" s="4">
        <v>26.784575080206899</v>
      </c>
      <c r="AI95" s="4">
        <v>62.750889563930201</v>
      </c>
    </row>
  </sheetData>
  <mergeCells count="2">
    <mergeCell ref="A1:AI1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648F-93D1-044F-8DD1-3C2B15649553}">
  <sheetPr>
    <tabColor theme="7"/>
  </sheetPr>
  <dimension ref="A1:AG95"/>
  <sheetViews>
    <sheetView workbookViewId="0">
      <selection activeCell="A2" sqref="A2:B2"/>
    </sheetView>
  </sheetViews>
  <sheetFormatPr baseColWidth="10" defaultRowHeight="16" x14ac:dyDescent="0.2"/>
  <sheetData>
    <row r="1" spans="1:33" x14ac:dyDescent="0.2">
      <c r="A1" s="7" t="s">
        <v>129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</row>
    <row r="2" spans="1:33" x14ac:dyDescent="0.2">
      <c r="A2" s="8" t="s">
        <v>161</v>
      </c>
      <c r="B2" s="8"/>
      <c r="C2" t="s">
        <v>162</v>
      </c>
      <c r="D2" s="1">
        <f>B5-I5-N5-Q5-S5</f>
        <v>14836.804299999996</v>
      </c>
      <c r="E2" s="1">
        <f>C5+F5+J5+O5+P5</f>
        <v>14836.804499999998</v>
      </c>
      <c r="F2" t="s">
        <v>163</v>
      </c>
      <c r="G2" s="1">
        <f>U5-AC5-AD5-AE5</f>
        <v>44216.783900000002</v>
      </c>
      <c r="H2" s="1">
        <f>V5+Y5</f>
        <v>44216.783799999997</v>
      </c>
    </row>
    <row r="3" spans="1:33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130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39</v>
      </c>
      <c r="U3" s="2" t="s">
        <v>22</v>
      </c>
      <c r="V3" s="2" t="s">
        <v>131</v>
      </c>
      <c r="W3" s="2" t="s">
        <v>132</v>
      </c>
      <c r="X3" s="2" t="s">
        <v>133</v>
      </c>
      <c r="Y3" s="2" t="s">
        <v>72</v>
      </c>
      <c r="Z3" s="2" t="s">
        <v>73</v>
      </c>
      <c r="AA3" s="2" t="s">
        <v>74</v>
      </c>
      <c r="AB3" s="2" t="s">
        <v>75</v>
      </c>
      <c r="AC3" s="2" t="s">
        <v>134</v>
      </c>
      <c r="AD3" s="2" t="s">
        <v>135</v>
      </c>
      <c r="AE3" s="2" t="s">
        <v>122</v>
      </c>
      <c r="AF3" s="2" t="s">
        <v>136</v>
      </c>
      <c r="AG3" s="2" t="s">
        <v>137</v>
      </c>
    </row>
    <row r="4" spans="1:33" x14ac:dyDescent="0.2">
      <c r="A4" s="3">
        <v>37591</v>
      </c>
      <c r="B4" s="4">
        <v>86768.369099999996</v>
      </c>
      <c r="C4" s="4">
        <v>11316.490100000001</v>
      </c>
      <c r="D4" s="4">
        <v>1648.1534999999999</v>
      </c>
      <c r="E4" s="4">
        <v>9668.3366000000005</v>
      </c>
      <c r="F4" s="5">
        <v>2375.8679000000002</v>
      </c>
      <c r="G4" s="4">
        <v>351.86680000000001</v>
      </c>
      <c r="H4" s="4">
        <v>2024.0011</v>
      </c>
      <c r="I4" s="4">
        <v>158.3381</v>
      </c>
      <c r="J4" s="5">
        <v>1032.6452999999999</v>
      </c>
      <c r="K4" s="4">
        <v>0.54659999999999997</v>
      </c>
      <c r="L4" s="4">
        <v>1032.0988</v>
      </c>
      <c r="M4" s="4">
        <v>36900.737300000001</v>
      </c>
      <c r="N4" s="4">
        <v>35970.989699999998</v>
      </c>
      <c r="O4" s="4">
        <v>775.4674</v>
      </c>
      <c r="P4" s="4">
        <v>154.28020000000001</v>
      </c>
      <c r="Q4" s="4">
        <v>82.0124</v>
      </c>
      <c r="R4" s="4">
        <v>82.0124</v>
      </c>
      <c r="S4" s="4">
        <v>34902.277999999998</v>
      </c>
      <c r="T4" s="4">
        <v>-84494.099300000002</v>
      </c>
      <c r="U4" s="4">
        <v>171262.46840000001</v>
      </c>
      <c r="V4" s="4">
        <v>8263.0151999999998</v>
      </c>
      <c r="W4" s="4">
        <v>24.086400000000001</v>
      </c>
      <c r="X4" s="4">
        <v>8238.9287000000004</v>
      </c>
      <c r="Y4" s="4">
        <v>35525.360399999998</v>
      </c>
      <c r="Z4" s="4">
        <v>3153.4537999999998</v>
      </c>
      <c r="AA4" s="4">
        <v>32371.906599999998</v>
      </c>
      <c r="AB4" s="4">
        <v>89766.789900000003</v>
      </c>
      <c r="AC4" s="4">
        <v>22392.776535419998</v>
      </c>
      <c r="AD4" s="4">
        <v>67374.013164579999</v>
      </c>
      <c r="AE4" s="4">
        <v>37707.303</v>
      </c>
      <c r="AF4" s="4">
        <v>3067.447441881</v>
      </c>
      <c r="AG4" s="4">
        <v>463.67792785</v>
      </c>
    </row>
    <row r="5" spans="1:33" x14ac:dyDescent="0.2">
      <c r="A5" s="3">
        <v>37681</v>
      </c>
      <c r="B5" s="4">
        <v>88646.766099999993</v>
      </c>
      <c r="C5" s="4">
        <v>10987.6787</v>
      </c>
      <c r="D5" s="4">
        <v>1401.9884999999999</v>
      </c>
      <c r="E5" s="4">
        <v>9585.6901999999991</v>
      </c>
      <c r="F5" s="5">
        <v>1949.3227999999999</v>
      </c>
      <c r="G5" s="4">
        <v>262.40879999999999</v>
      </c>
      <c r="H5" s="4">
        <v>1686.914</v>
      </c>
      <c r="I5" s="4">
        <v>110.2383</v>
      </c>
      <c r="J5" s="5">
        <v>1196.3380999999999</v>
      </c>
      <c r="K5" s="4">
        <v>0.54949999999999999</v>
      </c>
      <c r="L5" s="4">
        <v>1195.7886000000001</v>
      </c>
      <c r="M5" s="4">
        <v>36903.677199999998</v>
      </c>
      <c r="N5" s="4">
        <v>36200.212299999999</v>
      </c>
      <c r="O5" s="4">
        <v>449.01240000000001</v>
      </c>
      <c r="P5" s="4">
        <v>254.45249999999999</v>
      </c>
      <c r="Q5" s="4">
        <v>80.411900000000003</v>
      </c>
      <c r="R5" s="4">
        <v>80.411900000000003</v>
      </c>
      <c r="S5" s="4">
        <v>37419.099300000002</v>
      </c>
      <c r="T5" s="4">
        <v>-87009.131500000003</v>
      </c>
      <c r="U5" s="4">
        <v>175655.8977</v>
      </c>
      <c r="V5" s="4">
        <v>8375.6054999999997</v>
      </c>
      <c r="W5" s="4">
        <v>24.374600000000001</v>
      </c>
      <c r="X5" s="4">
        <v>8351.2309000000005</v>
      </c>
      <c r="Y5" s="4">
        <v>35841.1783</v>
      </c>
      <c r="Z5" s="4">
        <v>3203.3386</v>
      </c>
      <c r="AA5" s="4">
        <v>32637.8397</v>
      </c>
      <c r="AB5" s="4">
        <v>92182.528399999996</v>
      </c>
      <c r="AC5" s="4">
        <v>23332.2107</v>
      </c>
      <c r="AD5" s="4">
        <v>68850.317800000004</v>
      </c>
      <c r="AE5" s="4">
        <v>39256.585299999999</v>
      </c>
      <c r="AF5" s="4">
        <v>3048.2858000000001</v>
      </c>
      <c r="AG5" s="4">
        <v>515.68737882000005</v>
      </c>
    </row>
    <row r="6" spans="1:33" x14ac:dyDescent="0.2">
      <c r="A6" s="3">
        <v>37773</v>
      </c>
      <c r="B6" s="4">
        <v>91856.731400000004</v>
      </c>
      <c r="C6" s="4">
        <v>9897.1290000000008</v>
      </c>
      <c r="D6" s="4">
        <v>1810.0663</v>
      </c>
      <c r="E6" s="4">
        <v>8087.0627000000004</v>
      </c>
      <c r="F6" s="5">
        <v>1917.9866</v>
      </c>
      <c r="G6" s="4">
        <v>223.76609999999999</v>
      </c>
      <c r="H6" s="4">
        <v>1694.2204999999999</v>
      </c>
      <c r="I6" s="4">
        <v>14.6494</v>
      </c>
      <c r="J6" s="5">
        <v>1165.0182</v>
      </c>
      <c r="K6" s="4">
        <v>0.57269999999999999</v>
      </c>
      <c r="L6" s="4">
        <v>1164.4455</v>
      </c>
      <c r="M6" s="4">
        <v>39760.888500000001</v>
      </c>
      <c r="N6" s="4">
        <v>38901.331899999997</v>
      </c>
      <c r="O6" s="4">
        <v>643.60080000000005</v>
      </c>
      <c r="P6" s="4">
        <v>215.95570000000001</v>
      </c>
      <c r="Q6" s="4">
        <v>85.034499999999994</v>
      </c>
      <c r="R6" s="4">
        <v>85.034499999999994</v>
      </c>
      <c r="S6" s="4">
        <v>39016.025099999999</v>
      </c>
      <c r="T6" s="4">
        <v>-88016.142000000007</v>
      </c>
      <c r="U6" s="4">
        <v>179872.87340000001</v>
      </c>
      <c r="V6" s="4">
        <v>8443.1530000000002</v>
      </c>
      <c r="W6" s="4">
        <v>64.999099999999999</v>
      </c>
      <c r="X6" s="4">
        <v>8378.1538999999993</v>
      </c>
      <c r="Y6" s="4">
        <v>34588.587</v>
      </c>
      <c r="Z6" s="4">
        <v>3005.0389</v>
      </c>
      <c r="AA6" s="4">
        <v>31583.5481</v>
      </c>
      <c r="AB6" s="4">
        <v>96802.093999999997</v>
      </c>
      <c r="AC6" s="4">
        <v>27798.834999999999</v>
      </c>
      <c r="AD6" s="4">
        <v>69003.259000000005</v>
      </c>
      <c r="AE6" s="4">
        <v>40039.039299999997</v>
      </c>
      <c r="AF6" s="4">
        <v>2825.2716</v>
      </c>
      <c r="AG6" s="4">
        <v>566.42109100000005</v>
      </c>
    </row>
    <row r="7" spans="1:33" x14ac:dyDescent="0.2">
      <c r="A7" s="3">
        <v>37865</v>
      </c>
      <c r="B7" s="4">
        <v>95450.185700000002</v>
      </c>
      <c r="C7" s="4">
        <v>8956.6594999999998</v>
      </c>
      <c r="D7" s="4">
        <v>1661.3101999999999</v>
      </c>
      <c r="E7" s="4">
        <v>7295.3492999999999</v>
      </c>
      <c r="F7" s="5">
        <v>1721.8589999999999</v>
      </c>
      <c r="G7" s="4">
        <v>75.329300000000003</v>
      </c>
      <c r="H7" s="4">
        <v>1646.5297</v>
      </c>
      <c r="I7" s="4">
        <v>-141.61189999999999</v>
      </c>
      <c r="J7" s="5">
        <v>1154.5509</v>
      </c>
      <c r="K7" s="4">
        <v>0.52180000000000004</v>
      </c>
      <c r="L7" s="4">
        <v>1154.0291</v>
      </c>
      <c r="M7" s="4">
        <v>44505.088900000002</v>
      </c>
      <c r="N7" s="4">
        <v>43611.773999999998</v>
      </c>
      <c r="O7" s="4">
        <v>656.49990000000003</v>
      </c>
      <c r="P7" s="4">
        <v>236.8151</v>
      </c>
      <c r="Q7" s="4">
        <v>84.543000000000006</v>
      </c>
      <c r="R7" s="4">
        <v>84.543000000000006</v>
      </c>
      <c r="S7" s="4">
        <v>39169.096299999997</v>
      </c>
      <c r="T7" s="4">
        <v>-89759.671600000001</v>
      </c>
      <c r="U7" s="4">
        <v>185209.8573</v>
      </c>
      <c r="V7" s="4">
        <v>8269.1116000000002</v>
      </c>
      <c r="W7" s="4">
        <v>55.625300000000003</v>
      </c>
      <c r="X7" s="4">
        <v>8213.4863000000005</v>
      </c>
      <c r="Y7" s="4">
        <v>34047.682000000001</v>
      </c>
      <c r="Z7" s="4">
        <v>2871.2464</v>
      </c>
      <c r="AA7" s="4">
        <v>31176.435600000001</v>
      </c>
      <c r="AB7" s="4">
        <v>102693.363</v>
      </c>
      <c r="AC7" s="4">
        <v>34463.675799999997</v>
      </c>
      <c r="AD7" s="4">
        <v>68229.6872</v>
      </c>
      <c r="AE7" s="4">
        <v>40199.700700000001</v>
      </c>
      <c r="AF7" s="4">
        <v>2562.1884</v>
      </c>
      <c r="AG7" s="4">
        <v>556.46394355999996</v>
      </c>
    </row>
    <row r="8" spans="1:33" x14ac:dyDescent="0.2">
      <c r="A8" s="3">
        <v>37956</v>
      </c>
      <c r="B8" s="4">
        <v>97451.301600000006</v>
      </c>
      <c r="C8" s="4">
        <v>7513.8477999999996</v>
      </c>
      <c r="D8" s="4">
        <v>1791.8369</v>
      </c>
      <c r="E8" s="4">
        <v>5722.0109000000002</v>
      </c>
      <c r="F8" s="5">
        <v>2383.9202</v>
      </c>
      <c r="G8" s="4">
        <v>35.360500000000002</v>
      </c>
      <c r="H8" s="4">
        <v>2348.5596999999998</v>
      </c>
      <c r="I8" s="4">
        <v>-266.31509999999997</v>
      </c>
      <c r="J8" s="5">
        <v>1151.5717999999999</v>
      </c>
      <c r="K8" s="4">
        <v>0.45850000000000002</v>
      </c>
      <c r="L8" s="4">
        <v>1151.1132</v>
      </c>
      <c r="M8" s="4">
        <v>46839.076699999998</v>
      </c>
      <c r="N8" s="4">
        <v>45864.321499999998</v>
      </c>
      <c r="O8" s="4">
        <v>774.91780000000006</v>
      </c>
      <c r="P8" s="4">
        <v>199.83750000000001</v>
      </c>
      <c r="Q8" s="4">
        <v>87.228999999999999</v>
      </c>
      <c r="R8" s="4">
        <v>87.228999999999999</v>
      </c>
      <c r="S8" s="4">
        <v>39741.9712</v>
      </c>
      <c r="T8" s="4">
        <v>-87703.225399999996</v>
      </c>
      <c r="U8" s="4">
        <v>185154.527</v>
      </c>
      <c r="V8" s="4">
        <v>8835.8619999999992</v>
      </c>
      <c r="W8" s="4">
        <v>81.291499999999999</v>
      </c>
      <c r="X8" s="4">
        <v>8754.5705999999991</v>
      </c>
      <c r="Y8" s="4">
        <v>32032.781800000001</v>
      </c>
      <c r="Z8" s="4">
        <v>2915.4980999999998</v>
      </c>
      <c r="AA8" s="4">
        <v>29117.2837</v>
      </c>
      <c r="AB8" s="4">
        <v>103317.51240000001</v>
      </c>
      <c r="AC8" s="4">
        <v>36048.104700000004</v>
      </c>
      <c r="AD8" s="4">
        <v>67269.407699999996</v>
      </c>
      <c r="AE8" s="4">
        <v>40968.370799999997</v>
      </c>
      <c r="AF8" s="4">
        <v>2259.2384000000002</v>
      </c>
      <c r="AG8" s="4">
        <v>721.43971570999997</v>
      </c>
    </row>
    <row r="9" spans="1:33" x14ac:dyDescent="0.2">
      <c r="A9" s="3">
        <v>38047</v>
      </c>
      <c r="B9" s="4">
        <v>101312.0868</v>
      </c>
      <c r="C9" s="4">
        <v>7914.54</v>
      </c>
      <c r="D9" s="4">
        <v>2168.5410999999999</v>
      </c>
      <c r="E9" s="4">
        <v>5745.9988999999996</v>
      </c>
      <c r="F9" s="5">
        <v>2795.3591999999999</v>
      </c>
      <c r="G9" s="4">
        <v>28.052</v>
      </c>
      <c r="H9" s="4">
        <v>2767.3072000000002</v>
      </c>
      <c r="I9" s="4">
        <v>-76.557599999999994</v>
      </c>
      <c r="J9" s="5">
        <v>1248.1523</v>
      </c>
      <c r="K9" s="4">
        <v>0.47520000000000001</v>
      </c>
      <c r="L9" s="4">
        <v>1247.6771000000001</v>
      </c>
      <c r="M9" s="4">
        <v>47456.095699999998</v>
      </c>
      <c r="N9" s="4">
        <v>46304.8413</v>
      </c>
      <c r="O9" s="4">
        <v>897.72649999999999</v>
      </c>
      <c r="P9" s="4">
        <v>253.52799999999999</v>
      </c>
      <c r="Q9" s="4">
        <v>90.4863</v>
      </c>
      <c r="R9" s="4">
        <v>90.4863</v>
      </c>
      <c r="S9" s="4">
        <v>41884.010900000001</v>
      </c>
      <c r="T9" s="4">
        <v>-87899.540900000007</v>
      </c>
      <c r="U9" s="4">
        <v>189211.62770000001</v>
      </c>
      <c r="V9" s="4">
        <v>9482.4356000000007</v>
      </c>
      <c r="W9" s="4">
        <v>93.700400000000002</v>
      </c>
      <c r="X9" s="4">
        <v>9388.7351999999992</v>
      </c>
      <c r="Y9" s="4">
        <v>32170.617600000001</v>
      </c>
      <c r="Z9" s="4">
        <v>2015.1560999999999</v>
      </c>
      <c r="AA9" s="4">
        <v>30155.461500000001</v>
      </c>
      <c r="AB9" s="4">
        <v>105487.2672</v>
      </c>
      <c r="AC9" s="4">
        <v>35942.769399999997</v>
      </c>
      <c r="AD9" s="4">
        <v>69544.497700000007</v>
      </c>
      <c r="AE9" s="4">
        <v>42071.307399999998</v>
      </c>
      <c r="AF9" s="4">
        <v>2518.8076000000001</v>
      </c>
      <c r="AG9" s="4">
        <v>697.98037679000004</v>
      </c>
    </row>
    <row r="10" spans="1:33" x14ac:dyDescent="0.2">
      <c r="A10" s="3">
        <v>38139</v>
      </c>
      <c r="B10" s="4">
        <v>100472.60249999999</v>
      </c>
      <c r="C10" s="4">
        <v>8082.6556</v>
      </c>
      <c r="D10" s="4">
        <v>2426.3402999999998</v>
      </c>
      <c r="E10" s="4">
        <v>5656.3154000000004</v>
      </c>
      <c r="F10" s="5">
        <v>3074.2478000000001</v>
      </c>
      <c r="G10" s="4">
        <v>182.4427</v>
      </c>
      <c r="H10" s="4">
        <v>2891.8051</v>
      </c>
      <c r="I10" s="4">
        <v>11.251200000000001</v>
      </c>
      <c r="J10" s="5">
        <v>1259.4090000000001</v>
      </c>
      <c r="K10" s="4">
        <v>0.46529999999999999</v>
      </c>
      <c r="L10" s="4">
        <v>1258.9438</v>
      </c>
      <c r="M10" s="4">
        <v>46021.5</v>
      </c>
      <c r="N10" s="4">
        <v>44703.1034</v>
      </c>
      <c r="O10" s="4">
        <v>896.66909999999996</v>
      </c>
      <c r="P10" s="4">
        <v>421.72750000000002</v>
      </c>
      <c r="Q10" s="4">
        <v>97.778199999999998</v>
      </c>
      <c r="R10" s="4">
        <v>97.778199999999998</v>
      </c>
      <c r="S10" s="4">
        <v>41925.760699999999</v>
      </c>
      <c r="T10" s="4">
        <v>-91185.009699999995</v>
      </c>
      <c r="U10" s="4">
        <v>191657.6122</v>
      </c>
      <c r="V10" s="4">
        <v>9838.8150999999998</v>
      </c>
      <c r="W10" s="4">
        <v>130.25810000000001</v>
      </c>
      <c r="X10" s="4">
        <v>9708.5570000000007</v>
      </c>
      <c r="Y10" s="4">
        <v>32364.802100000001</v>
      </c>
      <c r="Z10" s="4">
        <v>2181.8364999999999</v>
      </c>
      <c r="AA10" s="4">
        <v>30182.9656</v>
      </c>
      <c r="AB10" s="4">
        <v>106709.8029</v>
      </c>
      <c r="AC10" s="4">
        <v>38363.683599999997</v>
      </c>
      <c r="AD10" s="4">
        <v>68346.119300000006</v>
      </c>
      <c r="AE10" s="4">
        <v>42744.192199999998</v>
      </c>
      <c r="AF10" s="4">
        <v>2631.3683999999998</v>
      </c>
      <c r="AG10" s="4">
        <v>754.15430570000001</v>
      </c>
    </row>
    <row r="11" spans="1:33" x14ac:dyDescent="0.2">
      <c r="A11" s="3">
        <v>38231</v>
      </c>
      <c r="B11" s="4">
        <v>103926.3873</v>
      </c>
      <c r="C11" s="4">
        <v>7922.9004000000004</v>
      </c>
      <c r="D11" s="4">
        <v>2217.4818</v>
      </c>
      <c r="E11" s="4">
        <v>5705.4186</v>
      </c>
      <c r="F11" s="5">
        <v>3138.6401000000001</v>
      </c>
      <c r="G11" s="4">
        <v>289.04390000000001</v>
      </c>
      <c r="H11" s="4">
        <v>2849.5963000000002</v>
      </c>
      <c r="I11" s="4">
        <v>-64.212599999999995</v>
      </c>
      <c r="J11" s="5">
        <v>1263.7562</v>
      </c>
      <c r="K11" s="4">
        <v>0.44869999999999999</v>
      </c>
      <c r="L11" s="4">
        <v>1263.3074999999999</v>
      </c>
      <c r="M11" s="4">
        <v>49644.119899999998</v>
      </c>
      <c r="N11" s="4">
        <v>48199.149700000002</v>
      </c>
      <c r="O11" s="4">
        <v>927.01859999999999</v>
      </c>
      <c r="P11" s="4">
        <v>517.95159999999998</v>
      </c>
      <c r="Q11" s="4">
        <v>101.91849999999999</v>
      </c>
      <c r="R11" s="4">
        <v>101.91849999999999</v>
      </c>
      <c r="S11" s="4">
        <v>41919.2647</v>
      </c>
      <c r="T11" s="4">
        <v>-92374.821100000001</v>
      </c>
      <c r="U11" s="4">
        <v>196301.2084</v>
      </c>
      <c r="V11" s="4">
        <v>9917.1532000000007</v>
      </c>
      <c r="W11" s="4">
        <v>131.18600000000001</v>
      </c>
      <c r="X11" s="4">
        <v>9785.9671999999991</v>
      </c>
      <c r="Y11" s="4">
        <v>32764.6734</v>
      </c>
      <c r="Z11" s="4">
        <v>2146.7474999999999</v>
      </c>
      <c r="AA11" s="4">
        <v>30617.925899999998</v>
      </c>
      <c r="AB11" s="4">
        <v>110813.2807</v>
      </c>
      <c r="AC11" s="4">
        <v>42534.5383</v>
      </c>
      <c r="AD11" s="4">
        <v>68278.742400000003</v>
      </c>
      <c r="AE11" s="4">
        <v>42806.101000000002</v>
      </c>
      <c r="AF11" s="4">
        <v>2720.2057</v>
      </c>
      <c r="AG11" s="4">
        <v>785.51412813000002</v>
      </c>
    </row>
    <row r="12" spans="1:33" x14ac:dyDescent="0.2">
      <c r="A12" s="3">
        <v>38322</v>
      </c>
      <c r="B12" s="4">
        <v>112736.46829999999</v>
      </c>
      <c r="C12" s="4">
        <v>8983.9999000000007</v>
      </c>
      <c r="D12" s="4">
        <v>2585.7002000000002</v>
      </c>
      <c r="E12" s="4">
        <v>6398.2996999999996</v>
      </c>
      <c r="F12" s="5">
        <v>4408.1252999999997</v>
      </c>
      <c r="G12" s="4">
        <v>616.26379999999995</v>
      </c>
      <c r="H12" s="4">
        <v>3791.8615</v>
      </c>
      <c r="I12" s="4">
        <v>-462.9855</v>
      </c>
      <c r="J12" s="5">
        <v>1212.4063000000001</v>
      </c>
      <c r="K12" s="4">
        <v>0.41049999999999998</v>
      </c>
      <c r="L12" s="4">
        <v>1211.9957999999999</v>
      </c>
      <c r="M12" s="4">
        <v>54108.788800000002</v>
      </c>
      <c r="N12" s="4">
        <v>52727.048300000002</v>
      </c>
      <c r="O12" s="4">
        <v>902.12850000000003</v>
      </c>
      <c r="P12" s="4">
        <v>479.61200000000002</v>
      </c>
      <c r="Q12" s="4">
        <v>104.5994</v>
      </c>
      <c r="R12" s="4">
        <v>104.5994</v>
      </c>
      <c r="S12" s="4">
        <v>44381.534200000002</v>
      </c>
      <c r="T12" s="4">
        <v>-88126.574900000007</v>
      </c>
      <c r="U12" s="4">
        <v>200863.04319999999</v>
      </c>
      <c r="V12" s="4">
        <v>10105.527</v>
      </c>
      <c r="W12" s="4">
        <v>130.7886</v>
      </c>
      <c r="X12" s="4">
        <v>9974.7384999999995</v>
      </c>
      <c r="Y12" s="4">
        <v>31241.448499999999</v>
      </c>
      <c r="Z12" s="4">
        <v>2124.5241999999998</v>
      </c>
      <c r="AA12" s="4">
        <v>29116.924299999999</v>
      </c>
      <c r="AB12" s="4">
        <v>113209.3339</v>
      </c>
      <c r="AC12" s="4">
        <v>43703.775300000001</v>
      </c>
      <c r="AD12" s="4">
        <v>69505.558600000004</v>
      </c>
      <c r="AE12" s="4">
        <v>46306.733899999999</v>
      </c>
      <c r="AF12" s="4">
        <v>2606.0607</v>
      </c>
      <c r="AG12" s="4">
        <v>853.65327651999996</v>
      </c>
    </row>
    <row r="13" spans="1:33" x14ac:dyDescent="0.2">
      <c r="A13" s="3">
        <v>38412</v>
      </c>
      <c r="B13" s="4">
        <v>120069.0721</v>
      </c>
      <c r="C13" s="4">
        <v>9510.2335000000003</v>
      </c>
      <c r="D13" s="4">
        <v>2791.5504000000001</v>
      </c>
      <c r="E13" s="4">
        <v>6718.6831000000002</v>
      </c>
      <c r="F13" s="5">
        <v>4585.9647000000004</v>
      </c>
      <c r="G13" s="4">
        <v>720.32910000000004</v>
      </c>
      <c r="H13" s="4">
        <v>3865.6356000000001</v>
      </c>
      <c r="I13" s="4">
        <v>-416.79539999999997</v>
      </c>
      <c r="J13" s="5">
        <v>1389.4143999999999</v>
      </c>
      <c r="K13" s="4">
        <v>0.4425</v>
      </c>
      <c r="L13" s="4">
        <v>1388.9719</v>
      </c>
      <c r="M13" s="4">
        <v>57650.355499999998</v>
      </c>
      <c r="N13" s="4">
        <v>56126.415800000002</v>
      </c>
      <c r="O13" s="4">
        <v>1105.0373999999999</v>
      </c>
      <c r="P13" s="4">
        <v>418.90219999999999</v>
      </c>
      <c r="Q13" s="4">
        <v>106.7881</v>
      </c>
      <c r="R13" s="4">
        <v>106.7881</v>
      </c>
      <c r="S13" s="4">
        <v>47243.111400000002</v>
      </c>
      <c r="T13" s="4">
        <v>-92361.197799999994</v>
      </c>
      <c r="U13" s="4">
        <v>212430.26990000001</v>
      </c>
      <c r="V13" s="4">
        <v>10274.405699999999</v>
      </c>
      <c r="W13" s="4">
        <v>142.8314</v>
      </c>
      <c r="X13" s="4">
        <v>10131.5743</v>
      </c>
      <c r="Y13" s="4">
        <v>32715.336299999999</v>
      </c>
      <c r="Z13" s="4">
        <v>2115.3074000000001</v>
      </c>
      <c r="AA13" s="4">
        <v>30600.028900000001</v>
      </c>
      <c r="AB13" s="4">
        <v>120598.446</v>
      </c>
      <c r="AC13" s="4">
        <v>47135.397400000002</v>
      </c>
      <c r="AD13" s="4">
        <v>73463.048599999995</v>
      </c>
      <c r="AE13" s="4">
        <v>48842.081899999997</v>
      </c>
      <c r="AF13" s="4">
        <v>2948.9056999999998</v>
      </c>
      <c r="AG13" s="4">
        <v>852.74608879000004</v>
      </c>
    </row>
    <row r="14" spans="1:33" x14ac:dyDescent="0.2">
      <c r="A14" s="3">
        <v>38504</v>
      </c>
      <c r="B14" s="4">
        <v>118943.88619999999</v>
      </c>
      <c r="C14" s="4">
        <v>9829.7950000000001</v>
      </c>
      <c r="D14" s="4">
        <v>2846.4159</v>
      </c>
      <c r="E14" s="4">
        <v>6983.3789999999999</v>
      </c>
      <c r="F14" s="5">
        <v>4299.3090000000002</v>
      </c>
      <c r="G14" s="4">
        <v>619.48569999999995</v>
      </c>
      <c r="H14" s="4">
        <v>3679.8231999999998</v>
      </c>
      <c r="I14" s="4">
        <v>-500.53649999999999</v>
      </c>
      <c r="J14" s="5">
        <v>1378.7638999999999</v>
      </c>
      <c r="K14" s="4">
        <v>0.46360000000000001</v>
      </c>
      <c r="L14" s="4">
        <v>1378.3003000000001</v>
      </c>
      <c r="M14" s="4">
        <v>56569.820099999997</v>
      </c>
      <c r="N14" s="4">
        <v>55007.270900000003</v>
      </c>
      <c r="O14" s="4">
        <v>947.65869999999995</v>
      </c>
      <c r="P14" s="4">
        <v>614.89049999999997</v>
      </c>
      <c r="Q14" s="4">
        <v>115.4191</v>
      </c>
      <c r="R14" s="4">
        <v>115.4191</v>
      </c>
      <c r="S14" s="4">
        <v>47251.315699999999</v>
      </c>
      <c r="T14" s="4">
        <v>-96120.885599999994</v>
      </c>
      <c r="U14" s="4">
        <v>215064.77179999999</v>
      </c>
      <c r="V14" s="4">
        <v>10780.7343</v>
      </c>
      <c r="W14" s="4">
        <v>136.291</v>
      </c>
      <c r="X14" s="4">
        <v>10644.443300000001</v>
      </c>
      <c r="Y14" s="4">
        <v>33267.030299999999</v>
      </c>
      <c r="Z14" s="4">
        <v>2589.0409</v>
      </c>
      <c r="AA14" s="4">
        <v>30677.989399999999</v>
      </c>
      <c r="AB14" s="4">
        <v>122175.6214</v>
      </c>
      <c r="AC14" s="4">
        <v>48689.700799999999</v>
      </c>
      <c r="AD14" s="4">
        <v>73485.920599999998</v>
      </c>
      <c r="AE14" s="4">
        <v>48841.385799999996</v>
      </c>
      <c r="AF14" s="4">
        <v>2937.3735000000001</v>
      </c>
      <c r="AG14" s="4">
        <v>1036.02560816</v>
      </c>
    </row>
    <row r="15" spans="1:33" x14ac:dyDescent="0.2">
      <c r="A15" s="3">
        <v>38596</v>
      </c>
      <c r="B15" s="4">
        <v>123913.58130000001</v>
      </c>
      <c r="C15" s="4">
        <v>9976.7155999999995</v>
      </c>
      <c r="D15" s="4">
        <v>2818.2721000000001</v>
      </c>
      <c r="E15" s="4">
        <v>7158.4435000000003</v>
      </c>
      <c r="F15" s="5">
        <v>3630.3609000000001</v>
      </c>
      <c r="G15" s="4">
        <v>610.72609999999997</v>
      </c>
      <c r="H15" s="4">
        <v>3019.6347999999998</v>
      </c>
      <c r="I15" s="4">
        <v>-795.28890000000001</v>
      </c>
      <c r="J15" s="5">
        <v>1319.6188</v>
      </c>
      <c r="K15" s="4">
        <v>0.43919999999999998</v>
      </c>
      <c r="L15" s="4">
        <v>1319.1795</v>
      </c>
      <c r="M15" s="4">
        <v>60647.128199999999</v>
      </c>
      <c r="N15" s="4">
        <v>58946.092100000002</v>
      </c>
      <c r="O15" s="4">
        <v>878.54259999999999</v>
      </c>
      <c r="P15" s="4">
        <v>822.49350000000004</v>
      </c>
      <c r="Q15" s="4">
        <v>123.83929999999999</v>
      </c>
      <c r="R15" s="4">
        <v>123.83929999999999</v>
      </c>
      <c r="S15" s="4">
        <v>49011.207300000002</v>
      </c>
      <c r="T15" s="4">
        <v>-94321.725999999995</v>
      </c>
      <c r="U15" s="4">
        <v>218235.30720000001</v>
      </c>
      <c r="V15" s="4">
        <v>10969.6702</v>
      </c>
      <c r="W15" s="4">
        <v>144.43899999999999</v>
      </c>
      <c r="X15" s="4">
        <v>10825.231100000001</v>
      </c>
      <c r="Y15" s="4">
        <v>32634.440999999999</v>
      </c>
      <c r="Z15" s="4">
        <v>2241.7865000000002</v>
      </c>
      <c r="AA15" s="4">
        <v>30392.654399999999</v>
      </c>
      <c r="AB15" s="4">
        <v>124981.1554</v>
      </c>
      <c r="AC15" s="4">
        <v>51482.463900000002</v>
      </c>
      <c r="AD15" s="4">
        <v>73498.691600000006</v>
      </c>
      <c r="AE15" s="4">
        <v>49650.0406</v>
      </c>
      <c r="AF15" s="4">
        <v>2844.7806999999998</v>
      </c>
      <c r="AG15" s="4">
        <v>1021.10442515</v>
      </c>
    </row>
    <row r="16" spans="1:33" x14ac:dyDescent="0.2">
      <c r="A16" s="3">
        <v>38687</v>
      </c>
      <c r="B16" s="4">
        <v>126210.5914</v>
      </c>
      <c r="C16" s="4">
        <v>11229.7533</v>
      </c>
      <c r="D16" s="4">
        <v>3062.3146999999999</v>
      </c>
      <c r="E16" s="4">
        <v>8167.4386000000004</v>
      </c>
      <c r="F16" s="5">
        <v>3718.7118999999998</v>
      </c>
      <c r="G16" s="4">
        <v>619.1816</v>
      </c>
      <c r="H16" s="4">
        <v>3099.5302999999999</v>
      </c>
      <c r="I16" s="4">
        <v>-704.16200000000003</v>
      </c>
      <c r="J16" s="5">
        <v>1360.9332999999999</v>
      </c>
      <c r="K16" s="4">
        <v>0.42980000000000002</v>
      </c>
      <c r="L16" s="4">
        <v>1360.5034000000001</v>
      </c>
      <c r="M16" s="4">
        <v>60194.310299999997</v>
      </c>
      <c r="N16" s="4">
        <v>58611.608800000002</v>
      </c>
      <c r="O16" s="4">
        <v>1179.5766000000001</v>
      </c>
      <c r="P16" s="4">
        <v>403.12490000000003</v>
      </c>
      <c r="Q16" s="4">
        <v>130.34649999999999</v>
      </c>
      <c r="R16" s="4">
        <v>130.34649999999999</v>
      </c>
      <c r="S16" s="4">
        <v>50280.698100000001</v>
      </c>
      <c r="T16" s="4">
        <v>-92269.4856</v>
      </c>
      <c r="U16" s="4">
        <v>218480.07689999999</v>
      </c>
      <c r="V16" s="4">
        <v>10383.4442</v>
      </c>
      <c r="W16" s="4">
        <v>162.6559</v>
      </c>
      <c r="X16" s="4">
        <v>10220.7883</v>
      </c>
      <c r="Y16" s="4">
        <v>33517.371700000003</v>
      </c>
      <c r="Z16" s="4">
        <v>2460.0884000000001</v>
      </c>
      <c r="AA16" s="4">
        <v>31057.283299999999</v>
      </c>
      <c r="AB16" s="4">
        <v>123776.43520000001</v>
      </c>
      <c r="AC16" s="4">
        <v>47698.284500000002</v>
      </c>
      <c r="AD16" s="4">
        <v>76078.150699999998</v>
      </c>
      <c r="AE16" s="4">
        <v>50802.825799999999</v>
      </c>
      <c r="AF16" s="4">
        <v>2843.2561999999998</v>
      </c>
      <c r="AG16" s="4">
        <v>1139.9560045400001</v>
      </c>
    </row>
    <row r="17" spans="1:33" x14ac:dyDescent="0.2">
      <c r="A17" s="3">
        <v>38777</v>
      </c>
      <c r="B17" s="4">
        <v>129793.3744</v>
      </c>
      <c r="C17" s="4">
        <v>11819.882</v>
      </c>
      <c r="D17" s="4">
        <v>3154.1008000000002</v>
      </c>
      <c r="E17" s="4">
        <v>8665.7811999999994</v>
      </c>
      <c r="F17" s="5">
        <v>3720.8033999999998</v>
      </c>
      <c r="G17" s="4">
        <v>670.72439999999995</v>
      </c>
      <c r="H17" s="4">
        <v>3050.0790000000002</v>
      </c>
      <c r="I17" s="4">
        <v>-1316.1934000000001</v>
      </c>
      <c r="J17" s="5">
        <v>1425.2221</v>
      </c>
      <c r="K17" s="4">
        <v>0.45689999999999997</v>
      </c>
      <c r="L17" s="4">
        <v>1424.7652</v>
      </c>
      <c r="M17" s="4">
        <v>62808.465199999999</v>
      </c>
      <c r="N17" s="4">
        <v>60978.616999999998</v>
      </c>
      <c r="O17" s="4">
        <v>1386.0295000000001</v>
      </c>
      <c r="P17" s="4">
        <v>443.8186</v>
      </c>
      <c r="Q17" s="4">
        <v>129.4059</v>
      </c>
      <c r="R17" s="4">
        <v>129.4059</v>
      </c>
      <c r="S17" s="4">
        <v>51205.789199999999</v>
      </c>
      <c r="T17" s="4">
        <v>-95617.720300000001</v>
      </c>
      <c r="U17" s="4">
        <v>225411.09469999999</v>
      </c>
      <c r="V17" s="4">
        <v>10519.100200000001</v>
      </c>
      <c r="W17" s="4">
        <v>160.1927</v>
      </c>
      <c r="X17" s="4">
        <v>10358.907499999999</v>
      </c>
      <c r="Y17" s="4">
        <v>34681.214800000002</v>
      </c>
      <c r="Z17" s="4">
        <v>2609.2404999999999</v>
      </c>
      <c r="AA17" s="4">
        <v>32071.974399999999</v>
      </c>
      <c r="AB17" s="4">
        <v>129178.6921</v>
      </c>
      <c r="AC17" s="4">
        <v>51726.815900000001</v>
      </c>
      <c r="AD17" s="4">
        <v>77451.876099999994</v>
      </c>
      <c r="AE17" s="4">
        <v>51032.087699999996</v>
      </c>
      <c r="AF17" s="4">
        <v>3195.6491999999998</v>
      </c>
      <c r="AG17" s="4">
        <v>1123.9214552599999</v>
      </c>
    </row>
    <row r="18" spans="1:33" x14ac:dyDescent="0.2">
      <c r="A18" s="3">
        <v>38869</v>
      </c>
      <c r="B18" s="4">
        <v>134598.7421</v>
      </c>
      <c r="C18" s="4">
        <v>12468.1024</v>
      </c>
      <c r="D18" s="4">
        <v>3606.931</v>
      </c>
      <c r="E18" s="4">
        <v>8861.1715000000004</v>
      </c>
      <c r="F18" s="5">
        <v>3407.3737000000001</v>
      </c>
      <c r="G18" s="4">
        <v>614.67700000000002</v>
      </c>
      <c r="H18" s="4">
        <v>2792.6967</v>
      </c>
      <c r="I18" s="4">
        <v>-1705.1070999999999</v>
      </c>
      <c r="J18" s="5">
        <v>1693.6214</v>
      </c>
      <c r="K18" s="4">
        <v>0.5131</v>
      </c>
      <c r="L18" s="4">
        <v>1693.1083000000001</v>
      </c>
      <c r="M18" s="4">
        <v>64221.198700000001</v>
      </c>
      <c r="N18" s="4">
        <v>62234.215300000003</v>
      </c>
      <c r="O18" s="4">
        <v>1664.0210999999999</v>
      </c>
      <c r="P18" s="4">
        <v>322.96230000000003</v>
      </c>
      <c r="Q18" s="4">
        <v>138.86689999999999</v>
      </c>
      <c r="R18" s="4">
        <v>138.86689999999999</v>
      </c>
      <c r="S18" s="4">
        <v>54374.686099999999</v>
      </c>
      <c r="T18" s="4">
        <v>-96317.186700000006</v>
      </c>
      <c r="U18" s="4">
        <v>230915.92879999999</v>
      </c>
      <c r="V18" s="4">
        <v>10664.5231</v>
      </c>
      <c r="W18" s="4">
        <v>125.2033</v>
      </c>
      <c r="X18" s="4">
        <v>10539.319799999999</v>
      </c>
      <c r="Y18" s="4">
        <v>36290.861599999997</v>
      </c>
      <c r="Z18" s="4">
        <v>3100.7483999999999</v>
      </c>
      <c r="AA18" s="4">
        <v>33190.113100000002</v>
      </c>
      <c r="AB18" s="4">
        <v>130192.52069999999</v>
      </c>
      <c r="AC18" s="4">
        <v>50809.6702</v>
      </c>
      <c r="AD18" s="4">
        <v>79382.8505</v>
      </c>
      <c r="AE18" s="4">
        <v>53768.023399999998</v>
      </c>
      <c r="AF18" s="4">
        <v>3426.5407</v>
      </c>
      <c r="AG18" s="4">
        <v>1218.73828065</v>
      </c>
    </row>
    <row r="19" spans="1:33" x14ac:dyDescent="0.2">
      <c r="A19" s="3">
        <v>38961</v>
      </c>
      <c r="B19" s="4">
        <v>139379.3786</v>
      </c>
      <c r="C19" s="4">
        <v>12990.029399999999</v>
      </c>
      <c r="D19" s="4">
        <v>3626.0596999999998</v>
      </c>
      <c r="E19" s="4">
        <v>9363.9696999999996</v>
      </c>
      <c r="F19" s="5">
        <v>3460.3694999999998</v>
      </c>
      <c r="G19" s="4">
        <v>805.9171</v>
      </c>
      <c r="H19" s="4">
        <v>2654.4524000000001</v>
      </c>
      <c r="I19" s="4">
        <v>-2008.8634999999999</v>
      </c>
      <c r="J19" s="5">
        <v>1739.0715</v>
      </c>
      <c r="K19" s="4">
        <v>0.5161</v>
      </c>
      <c r="L19" s="4">
        <v>1738.5554</v>
      </c>
      <c r="M19" s="4">
        <v>69478.529899999994</v>
      </c>
      <c r="N19" s="4">
        <v>67256.730200000005</v>
      </c>
      <c r="O19" s="4">
        <v>1743.0059000000001</v>
      </c>
      <c r="P19" s="4">
        <v>478.7937</v>
      </c>
      <c r="Q19" s="4">
        <v>145.23779999999999</v>
      </c>
      <c r="R19" s="4">
        <v>145.23779999999999</v>
      </c>
      <c r="S19" s="4">
        <v>53575.003900000003</v>
      </c>
      <c r="T19" s="4">
        <v>-98282.256899999993</v>
      </c>
      <c r="U19" s="4">
        <v>237661.6355</v>
      </c>
      <c r="V19" s="4">
        <v>11185.692800000001</v>
      </c>
      <c r="W19" s="4">
        <v>124.3657</v>
      </c>
      <c r="X19" s="4">
        <v>11061.326999999999</v>
      </c>
      <c r="Y19" s="4">
        <v>37308.148999999998</v>
      </c>
      <c r="Z19" s="4">
        <v>3173.2698</v>
      </c>
      <c r="AA19" s="4">
        <v>34134.879200000003</v>
      </c>
      <c r="AB19" s="4">
        <v>135741.4363</v>
      </c>
      <c r="AC19" s="4">
        <v>56507.575599999996</v>
      </c>
      <c r="AD19" s="4">
        <v>79233.860700000005</v>
      </c>
      <c r="AE19" s="4">
        <v>53426.357400000001</v>
      </c>
      <c r="AF19" s="4">
        <v>3443.6642999999999</v>
      </c>
      <c r="AG19" s="4">
        <v>1288.5060319300001</v>
      </c>
    </row>
    <row r="20" spans="1:33" x14ac:dyDescent="0.2">
      <c r="A20" s="3">
        <v>39052</v>
      </c>
      <c r="B20" s="4">
        <v>147056.22159999999</v>
      </c>
      <c r="C20" s="4">
        <v>14618.3513</v>
      </c>
      <c r="D20" s="4">
        <v>4108.5505999999996</v>
      </c>
      <c r="E20" s="4">
        <v>10509.8007</v>
      </c>
      <c r="F20" s="5">
        <v>3562.2379000000001</v>
      </c>
      <c r="G20" s="4">
        <v>772.61699999999996</v>
      </c>
      <c r="H20" s="4">
        <v>2789.6208000000001</v>
      </c>
      <c r="I20" s="4">
        <v>-1968.0881999999999</v>
      </c>
      <c r="J20" s="5">
        <v>1565.2579000000001</v>
      </c>
      <c r="K20" s="4">
        <v>0.53090000000000004</v>
      </c>
      <c r="L20" s="4">
        <v>1564.7270000000001</v>
      </c>
      <c r="M20" s="4">
        <v>76989.414099999995</v>
      </c>
      <c r="N20" s="4">
        <v>74510.633100000006</v>
      </c>
      <c r="O20" s="4">
        <v>1871.4490000000001</v>
      </c>
      <c r="P20" s="4">
        <v>607.33199999999999</v>
      </c>
      <c r="Q20" s="4">
        <v>147.85140000000001</v>
      </c>
      <c r="R20" s="4">
        <v>147.85140000000001</v>
      </c>
      <c r="S20" s="4">
        <v>52141.1973</v>
      </c>
      <c r="T20" s="4">
        <v>-99417.276899999997</v>
      </c>
      <c r="U20" s="4">
        <v>246473.49849999999</v>
      </c>
      <c r="V20" s="4">
        <v>12068.941699999999</v>
      </c>
      <c r="W20" s="4">
        <v>107.1224</v>
      </c>
      <c r="X20" s="4">
        <v>11961.8192</v>
      </c>
      <c r="Y20" s="4">
        <v>37919.869299999998</v>
      </c>
      <c r="Z20" s="4">
        <v>3122.7049999999999</v>
      </c>
      <c r="AA20" s="4">
        <v>34797.164400000001</v>
      </c>
      <c r="AB20" s="4">
        <v>143843.1054</v>
      </c>
      <c r="AC20" s="4">
        <v>66054.719899999996</v>
      </c>
      <c r="AD20" s="4">
        <v>77788.385599999994</v>
      </c>
      <c r="AE20" s="4">
        <v>52641.5821</v>
      </c>
      <c r="AF20" s="4">
        <v>3567.9902000000002</v>
      </c>
      <c r="AG20" s="4">
        <v>1501.44823658</v>
      </c>
    </row>
    <row r="21" spans="1:33" x14ac:dyDescent="0.2">
      <c r="A21" s="3">
        <v>39142</v>
      </c>
      <c r="B21" s="4">
        <v>153285.4123</v>
      </c>
      <c r="C21" s="4">
        <v>15439.1204</v>
      </c>
      <c r="D21" s="4">
        <v>4130.0814</v>
      </c>
      <c r="E21" s="4">
        <v>11309.039000000001</v>
      </c>
      <c r="F21" s="5">
        <v>3190.8784000000001</v>
      </c>
      <c r="G21" s="4">
        <v>817.65319999999997</v>
      </c>
      <c r="H21" s="4">
        <v>2373.2251999999999</v>
      </c>
      <c r="I21" s="4">
        <v>-1954.0871</v>
      </c>
      <c r="J21" s="5">
        <v>1628.1348</v>
      </c>
      <c r="K21" s="4">
        <v>0.55640000000000001</v>
      </c>
      <c r="L21" s="4">
        <v>1627.5784000000001</v>
      </c>
      <c r="M21" s="4">
        <v>82859.913799999995</v>
      </c>
      <c r="N21" s="4">
        <v>79643.623800000001</v>
      </c>
      <c r="O21" s="4">
        <v>2314.0619999999999</v>
      </c>
      <c r="P21" s="4">
        <v>902.22810000000004</v>
      </c>
      <c r="Q21" s="4">
        <v>152.01320000000001</v>
      </c>
      <c r="R21" s="4">
        <v>152.01320000000001</v>
      </c>
      <c r="S21" s="4">
        <v>51969.438800000004</v>
      </c>
      <c r="T21" s="4">
        <v>-101728.4366</v>
      </c>
      <c r="U21" s="4">
        <v>255013.84890000001</v>
      </c>
      <c r="V21" s="4">
        <v>12183.837299999999</v>
      </c>
      <c r="W21" s="4">
        <v>115.8732</v>
      </c>
      <c r="X21" s="4">
        <v>12067.964099999999</v>
      </c>
      <c r="Y21" s="4">
        <v>39434.773000000001</v>
      </c>
      <c r="Z21" s="4">
        <v>3321.7539999999999</v>
      </c>
      <c r="AA21" s="4">
        <v>36113.019</v>
      </c>
      <c r="AB21" s="4">
        <v>151508.44570000001</v>
      </c>
      <c r="AC21" s="4">
        <v>72107.739199999996</v>
      </c>
      <c r="AD21" s="4">
        <v>79400.706399999995</v>
      </c>
      <c r="AE21" s="4">
        <v>51886.7929</v>
      </c>
      <c r="AF21" s="4">
        <v>3577.3045000000002</v>
      </c>
      <c r="AG21" s="4">
        <v>1406.57549801</v>
      </c>
    </row>
    <row r="22" spans="1:33" x14ac:dyDescent="0.2">
      <c r="A22" s="3">
        <v>39234</v>
      </c>
      <c r="B22" s="4">
        <v>160730.63430000001</v>
      </c>
      <c r="C22" s="4">
        <v>15427.4946</v>
      </c>
      <c r="D22" s="4">
        <v>4764.7088999999996</v>
      </c>
      <c r="E22" s="4">
        <v>10662.7858</v>
      </c>
      <c r="F22" s="5">
        <v>2730.4182000000001</v>
      </c>
      <c r="G22" s="4">
        <v>807.71870000000001</v>
      </c>
      <c r="H22" s="4">
        <v>1922.6994999999999</v>
      </c>
      <c r="I22" s="4">
        <v>-2207.1948000000002</v>
      </c>
      <c r="J22" s="5">
        <v>1627.7691</v>
      </c>
      <c r="K22" s="4">
        <v>0.56240000000000001</v>
      </c>
      <c r="L22" s="4">
        <v>1627.2067999999999</v>
      </c>
      <c r="M22" s="4">
        <v>91151.309699999998</v>
      </c>
      <c r="N22" s="4">
        <v>87342.4467</v>
      </c>
      <c r="O22" s="4">
        <v>2591.2237</v>
      </c>
      <c r="P22" s="4">
        <v>1217.6393</v>
      </c>
      <c r="Q22" s="4">
        <v>167.0761</v>
      </c>
      <c r="R22" s="4">
        <v>167.0761</v>
      </c>
      <c r="S22" s="4">
        <v>51833.761400000003</v>
      </c>
      <c r="T22" s="4">
        <v>-107999.72870000001</v>
      </c>
      <c r="U22" s="4">
        <v>268730.36300000001</v>
      </c>
      <c r="V22" s="4">
        <v>11812.7745</v>
      </c>
      <c r="W22" s="4">
        <v>116.4996</v>
      </c>
      <c r="X22" s="4">
        <v>11696.2749</v>
      </c>
      <c r="Y22" s="4">
        <v>40372.898300000001</v>
      </c>
      <c r="Z22" s="4">
        <v>3484.6731</v>
      </c>
      <c r="AA22" s="4">
        <v>36888.225200000001</v>
      </c>
      <c r="AB22" s="4">
        <v>164819.2585</v>
      </c>
      <c r="AC22" s="4">
        <v>83935.102100000004</v>
      </c>
      <c r="AD22" s="4">
        <v>80884.156400000007</v>
      </c>
      <c r="AE22" s="4">
        <v>51725.431799999998</v>
      </c>
      <c r="AF22" s="4">
        <v>3743.5428999999999</v>
      </c>
      <c r="AG22" s="4">
        <v>1450.4965263300001</v>
      </c>
    </row>
    <row r="23" spans="1:33" x14ac:dyDescent="0.2">
      <c r="A23" s="3">
        <v>39326</v>
      </c>
      <c r="B23" s="4">
        <v>161431.81409999999</v>
      </c>
      <c r="C23" s="4">
        <v>15519.813599999999</v>
      </c>
      <c r="D23" s="4">
        <v>5049.2294000000002</v>
      </c>
      <c r="E23" s="4">
        <v>10470.584199999999</v>
      </c>
      <c r="F23" s="5">
        <v>3111.4883</v>
      </c>
      <c r="G23" s="4">
        <v>781.2192</v>
      </c>
      <c r="H23" s="4">
        <v>2330.2691</v>
      </c>
      <c r="I23" s="4">
        <v>-2401.3090000000002</v>
      </c>
      <c r="J23" s="5">
        <v>1736.7166999999999</v>
      </c>
      <c r="K23" s="4">
        <v>0.57579999999999998</v>
      </c>
      <c r="L23" s="4">
        <v>1736.1409000000001</v>
      </c>
      <c r="M23" s="4">
        <v>91074.7785</v>
      </c>
      <c r="N23" s="4">
        <v>86964.578599999993</v>
      </c>
      <c r="O23" s="4">
        <v>2637.6923000000002</v>
      </c>
      <c r="P23" s="4">
        <v>1472.5075999999999</v>
      </c>
      <c r="Q23" s="4">
        <v>179.11799999999999</v>
      </c>
      <c r="R23" s="4">
        <v>179.11799999999999</v>
      </c>
      <c r="S23" s="4">
        <v>52211.208200000001</v>
      </c>
      <c r="T23" s="4">
        <v>-109261.5549</v>
      </c>
      <c r="U23" s="4">
        <v>270693.36910000001</v>
      </c>
      <c r="V23" s="4">
        <v>12157.0352</v>
      </c>
      <c r="W23" s="4">
        <v>117.75620000000001</v>
      </c>
      <c r="X23" s="4">
        <v>12039.279</v>
      </c>
      <c r="Y23" s="4">
        <v>42614.786200000002</v>
      </c>
      <c r="Z23" s="4">
        <v>3691.3548999999998</v>
      </c>
      <c r="AA23" s="4">
        <v>38923.431299999997</v>
      </c>
      <c r="AB23" s="4">
        <v>163471.21049999999</v>
      </c>
      <c r="AC23" s="4">
        <v>80653.4764</v>
      </c>
      <c r="AD23" s="4">
        <v>82817.734100000001</v>
      </c>
      <c r="AE23" s="4">
        <v>52450.337200000002</v>
      </c>
      <c r="AF23" s="4">
        <v>3865.2966999999999</v>
      </c>
      <c r="AG23" s="4">
        <v>1526.4793102399999</v>
      </c>
    </row>
    <row r="24" spans="1:33" x14ac:dyDescent="0.2">
      <c r="A24" s="3">
        <v>39417</v>
      </c>
      <c r="B24" s="4">
        <v>163807.29810000001</v>
      </c>
      <c r="C24" s="4">
        <v>17649.068800000001</v>
      </c>
      <c r="D24" s="4">
        <v>6129.7793000000001</v>
      </c>
      <c r="E24" s="4">
        <v>11519.289500000001</v>
      </c>
      <c r="F24" s="5">
        <v>3355.5882000000001</v>
      </c>
      <c r="G24" s="4">
        <v>856.55229999999995</v>
      </c>
      <c r="H24" s="4">
        <v>2499.0358000000001</v>
      </c>
      <c r="I24" s="4">
        <v>-2379.5677000000001</v>
      </c>
      <c r="J24" s="5">
        <v>1791.6723999999999</v>
      </c>
      <c r="K24" s="4">
        <v>0.59440000000000004</v>
      </c>
      <c r="L24" s="4">
        <v>1791.078</v>
      </c>
      <c r="M24" s="4">
        <v>91501.570200000002</v>
      </c>
      <c r="N24" s="4">
        <v>87116.664900000003</v>
      </c>
      <c r="O24" s="4">
        <v>2725.1880999999998</v>
      </c>
      <c r="P24" s="4">
        <v>1659.7173</v>
      </c>
      <c r="Q24" s="4">
        <v>184.83680000000001</v>
      </c>
      <c r="R24" s="4">
        <v>184.83680000000001</v>
      </c>
      <c r="S24" s="4">
        <v>51704.129399999998</v>
      </c>
      <c r="T24" s="4">
        <v>-107102.18520000001</v>
      </c>
      <c r="U24" s="4">
        <v>270909.48330000002</v>
      </c>
      <c r="V24" s="4">
        <v>12099.108099999999</v>
      </c>
      <c r="W24" s="4">
        <v>93.284199999999998</v>
      </c>
      <c r="X24" s="4">
        <v>12005.823899999999</v>
      </c>
      <c r="Y24" s="4">
        <v>44867.581599999998</v>
      </c>
      <c r="Z24" s="4">
        <v>3995.2004999999999</v>
      </c>
      <c r="AA24" s="4">
        <v>40872.381099999999</v>
      </c>
      <c r="AB24" s="4">
        <v>161084.26449999999</v>
      </c>
      <c r="AC24" s="4">
        <v>77491.455199999997</v>
      </c>
      <c r="AD24" s="4">
        <v>83592.809299999994</v>
      </c>
      <c r="AE24" s="4">
        <v>52858.5291</v>
      </c>
      <c r="AF24" s="4">
        <v>4306.5595000000003</v>
      </c>
      <c r="AG24" s="4">
        <v>1682.1428653600001</v>
      </c>
    </row>
    <row r="25" spans="1:33" x14ac:dyDescent="0.2">
      <c r="A25" s="3">
        <v>39508</v>
      </c>
      <c r="B25" s="4">
        <v>160793.72150000001</v>
      </c>
      <c r="C25" s="4">
        <v>16099.602699999999</v>
      </c>
      <c r="D25" s="4">
        <v>4823.6704</v>
      </c>
      <c r="E25" s="4">
        <v>11275.9324</v>
      </c>
      <c r="F25" s="5">
        <v>2854.0427</v>
      </c>
      <c r="G25" s="4">
        <v>801.47429999999997</v>
      </c>
      <c r="H25" s="4">
        <v>2052.5684999999999</v>
      </c>
      <c r="I25" s="4">
        <v>-3105.6482000000001</v>
      </c>
      <c r="J25" s="5">
        <v>1648.8851</v>
      </c>
      <c r="K25" s="4">
        <v>0.58389999999999997</v>
      </c>
      <c r="L25" s="4">
        <v>1648.3010999999999</v>
      </c>
      <c r="M25" s="4">
        <v>88364.702900000004</v>
      </c>
      <c r="N25" s="4">
        <v>84470.061100000006</v>
      </c>
      <c r="O25" s="4">
        <v>2408.4605999999999</v>
      </c>
      <c r="P25" s="4">
        <v>1486.1812</v>
      </c>
      <c r="Q25" s="4">
        <v>189.19220000000001</v>
      </c>
      <c r="R25" s="4">
        <v>189.19220000000001</v>
      </c>
      <c r="S25" s="4">
        <v>54742.944000000003</v>
      </c>
      <c r="T25" s="4">
        <v>-110274.2599</v>
      </c>
      <c r="U25" s="4">
        <v>271067.98139999999</v>
      </c>
      <c r="V25" s="4">
        <v>12160.84</v>
      </c>
      <c r="W25" s="4">
        <v>105.0853</v>
      </c>
      <c r="X25" s="4">
        <v>12055.754800000001</v>
      </c>
      <c r="Y25" s="4">
        <v>44470.9784</v>
      </c>
      <c r="Z25" s="4">
        <v>3968.0819000000001</v>
      </c>
      <c r="AA25" s="4">
        <v>40502.896399999998</v>
      </c>
      <c r="AB25" s="4">
        <v>159780.75539999999</v>
      </c>
      <c r="AC25" s="4">
        <v>74458.548999999999</v>
      </c>
      <c r="AD25" s="4">
        <v>85322.206300000005</v>
      </c>
      <c r="AE25" s="4">
        <v>54655.407599999999</v>
      </c>
      <c r="AF25" s="4">
        <v>3952.2752999999998</v>
      </c>
      <c r="AG25" s="4">
        <v>1684.4165525599999</v>
      </c>
    </row>
    <row r="26" spans="1:33" x14ac:dyDescent="0.2">
      <c r="A26" s="3">
        <v>39600</v>
      </c>
      <c r="B26" s="4">
        <v>168997.7629</v>
      </c>
      <c r="C26" s="4">
        <v>18045.251700000001</v>
      </c>
      <c r="D26" s="4">
        <v>4877.2461000000003</v>
      </c>
      <c r="E26" s="4">
        <v>13168.0056</v>
      </c>
      <c r="F26" s="5">
        <v>3025.2963</v>
      </c>
      <c r="G26" s="4">
        <v>912.01980000000003</v>
      </c>
      <c r="H26" s="4">
        <v>2113.2766000000001</v>
      </c>
      <c r="I26" s="4">
        <v>-2848.8580999999999</v>
      </c>
      <c r="J26" s="5">
        <v>1907.9287999999999</v>
      </c>
      <c r="K26" s="4">
        <v>0.70040000000000002</v>
      </c>
      <c r="L26" s="4">
        <v>1907.2284</v>
      </c>
      <c r="M26" s="4">
        <v>93425.493000000002</v>
      </c>
      <c r="N26" s="4">
        <v>89108.387300000002</v>
      </c>
      <c r="O26" s="4">
        <v>3000.1624999999999</v>
      </c>
      <c r="P26" s="4">
        <v>1316.9431999999999</v>
      </c>
      <c r="Q26" s="4">
        <v>201.1508</v>
      </c>
      <c r="R26" s="4">
        <v>201.1508</v>
      </c>
      <c r="S26" s="4">
        <v>55241.500399999997</v>
      </c>
      <c r="T26" s="4">
        <v>-115510.23360000001</v>
      </c>
      <c r="U26" s="4">
        <v>284507.99650000001</v>
      </c>
      <c r="V26" s="4">
        <v>12950.195900000001</v>
      </c>
      <c r="W26" s="4">
        <v>114.07559999999999</v>
      </c>
      <c r="X26" s="4">
        <v>12836.120199999999</v>
      </c>
      <c r="Y26" s="4">
        <v>49424.613299999997</v>
      </c>
      <c r="Z26" s="4">
        <v>5098.0048999999999</v>
      </c>
      <c r="AA26" s="4">
        <v>44326.6083</v>
      </c>
      <c r="AB26" s="4">
        <v>165864.07029999999</v>
      </c>
      <c r="AC26" s="4">
        <v>76502.006500000003</v>
      </c>
      <c r="AD26" s="4">
        <v>89362.063899999994</v>
      </c>
      <c r="AE26" s="4">
        <v>56269.116999999998</v>
      </c>
      <c r="AF26" s="4">
        <v>5459.1765999999998</v>
      </c>
      <c r="AG26" s="4">
        <v>1834.84031594</v>
      </c>
    </row>
    <row r="27" spans="1:33" x14ac:dyDescent="0.2">
      <c r="A27" s="3">
        <v>39692</v>
      </c>
      <c r="B27" s="4">
        <v>163770.93530000001</v>
      </c>
      <c r="C27" s="4">
        <v>19234.626700000001</v>
      </c>
      <c r="D27" s="4">
        <v>4762.8671000000004</v>
      </c>
      <c r="E27" s="4">
        <v>14471.759599999999</v>
      </c>
      <c r="F27" s="5">
        <v>3211.7474999999999</v>
      </c>
      <c r="G27" s="4">
        <v>1052.6286</v>
      </c>
      <c r="H27" s="4">
        <v>2159.1188999999999</v>
      </c>
      <c r="I27" s="4">
        <v>-2099.0522000000001</v>
      </c>
      <c r="J27" s="5">
        <v>2071.0337</v>
      </c>
      <c r="K27" s="4">
        <v>0.71560000000000001</v>
      </c>
      <c r="L27" s="4">
        <v>2070.3182000000002</v>
      </c>
      <c r="M27" s="4">
        <v>87842.835999999996</v>
      </c>
      <c r="N27" s="4">
        <v>83896.315100000007</v>
      </c>
      <c r="O27" s="4">
        <v>2571.9830000000002</v>
      </c>
      <c r="P27" s="4">
        <v>1374.5379</v>
      </c>
      <c r="Q27" s="4">
        <v>214.95410000000001</v>
      </c>
      <c r="R27" s="4">
        <v>214.95410000000001</v>
      </c>
      <c r="S27" s="4">
        <v>53294.789299999997</v>
      </c>
      <c r="T27" s="4">
        <v>-121913.9852</v>
      </c>
      <c r="U27" s="4">
        <v>285684.92050000001</v>
      </c>
      <c r="V27" s="4">
        <v>14691.474</v>
      </c>
      <c r="W27" s="4">
        <v>123.32380000000001</v>
      </c>
      <c r="X27" s="4">
        <v>14568.1502</v>
      </c>
      <c r="Y27" s="4">
        <v>53421.841800000002</v>
      </c>
      <c r="Z27" s="4">
        <v>5524.6769999999997</v>
      </c>
      <c r="AA27" s="4">
        <v>47897.164799999999</v>
      </c>
      <c r="AB27" s="4">
        <v>161981.81</v>
      </c>
      <c r="AC27" s="4">
        <v>70784.745800000004</v>
      </c>
      <c r="AD27" s="4">
        <v>91197.064199999993</v>
      </c>
      <c r="AE27" s="4">
        <v>55589.794600000001</v>
      </c>
      <c r="AF27" s="4">
        <v>6096.6325999999999</v>
      </c>
      <c r="AG27" s="4">
        <v>1595.87702646</v>
      </c>
    </row>
    <row r="28" spans="1:33" x14ac:dyDescent="0.2">
      <c r="A28" s="3">
        <v>39783</v>
      </c>
      <c r="B28" s="4">
        <v>160173.69620000001</v>
      </c>
      <c r="C28" s="4">
        <v>22277.4205</v>
      </c>
      <c r="D28" s="4">
        <v>5101.4674999999997</v>
      </c>
      <c r="E28" s="4">
        <v>17175.953000000001</v>
      </c>
      <c r="F28" s="5">
        <v>2909.2764000000002</v>
      </c>
      <c r="G28" s="4">
        <v>1214.9646</v>
      </c>
      <c r="H28" s="4">
        <v>1694.3117999999999</v>
      </c>
      <c r="I28" s="4">
        <v>-525.22720000000004</v>
      </c>
      <c r="J28" s="5">
        <v>2688.0210000000002</v>
      </c>
      <c r="K28" s="4">
        <v>0.81850000000000001</v>
      </c>
      <c r="L28" s="4">
        <v>2687.2024000000001</v>
      </c>
      <c r="M28" s="4">
        <v>81517.043600000005</v>
      </c>
      <c r="N28" s="4">
        <v>77741.047099999996</v>
      </c>
      <c r="O28" s="4">
        <v>2781.7536</v>
      </c>
      <c r="P28" s="4">
        <v>994.24289999999996</v>
      </c>
      <c r="Q28" s="4">
        <v>217.9898</v>
      </c>
      <c r="R28" s="4">
        <v>217.9898</v>
      </c>
      <c r="S28" s="4">
        <v>51089.172100000003</v>
      </c>
      <c r="T28" s="4">
        <v>-124428.5416</v>
      </c>
      <c r="U28" s="4">
        <v>284602.2378</v>
      </c>
      <c r="V28" s="4">
        <v>14751.1129</v>
      </c>
      <c r="W28" s="4">
        <v>180.4014</v>
      </c>
      <c r="X28" s="4">
        <v>14570.711499999999</v>
      </c>
      <c r="Y28" s="4">
        <v>59269.441500000001</v>
      </c>
      <c r="Z28" s="4">
        <v>6791.2915000000003</v>
      </c>
      <c r="AA28" s="4">
        <v>52478.15</v>
      </c>
      <c r="AB28" s="4">
        <v>156241.71909999999</v>
      </c>
      <c r="AC28" s="4">
        <v>62990.542999999998</v>
      </c>
      <c r="AD28" s="4">
        <v>93251.176200000002</v>
      </c>
      <c r="AE28" s="4">
        <v>54339.9643</v>
      </c>
      <c r="AF28" s="4">
        <v>5543.7542000000003</v>
      </c>
      <c r="AG28" s="4">
        <v>1792.64607434</v>
      </c>
    </row>
    <row r="29" spans="1:33" x14ac:dyDescent="0.2">
      <c r="A29" s="3">
        <v>39873</v>
      </c>
      <c r="B29" s="4">
        <v>158132.2836</v>
      </c>
      <c r="C29" s="4">
        <v>19227.6181</v>
      </c>
      <c r="D29" s="4">
        <v>5641.6652999999997</v>
      </c>
      <c r="E29" s="4">
        <v>13585.952799999999</v>
      </c>
      <c r="F29" s="5">
        <v>3288.2721000000001</v>
      </c>
      <c r="G29" s="4">
        <v>1240.9793999999999</v>
      </c>
      <c r="H29" s="4">
        <v>2047.2926</v>
      </c>
      <c r="I29" s="4">
        <v>-1258.0785000000001</v>
      </c>
      <c r="J29" s="5">
        <v>2378.9236999999998</v>
      </c>
      <c r="K29" s="4">
        <v>0.78869999999999996</v>
      </c>
      <c r="L29" s="4">
        <v>2378.1350000000002</v>
      </c>
      <c r="M29" s="4">
        <v>83370.245999999999</v>
      </c>
      <c r="N29" s="4">
        <v>78253.514599999995</v>
      </c>
      <c r="O29" s="4">
        <v>4031.7269000000001</v>
      </c>
      <c r="P29" s="4">
        <v>1085.0045</v>
      </c>
      <c r="Q29" s="4">
        <v>211.0351</v>
      </c>
      <c r="R29" s="4">
        <v>211.0351</v>
      </c>
      <c r="S29" s="4">
        <v>50914.267099999997</v>
      </c>
      <c r="T29" s="4">
        <v>-124933.09600000001</v>
      </c>
      <c r="U29" s="4">
        <v>283065.37959999999</v>
      </c>
      <c r="V29" s="4">
        <v>16185.6304</v>
      </c>
      <c r="W29" s="4">
        <v>247.18260000000001</v>
      </c>
      <c r="X29" s="4">
        <v>15938.4478</v>
      </c>
      <c r="Y29" s="4">
        <v>57761.006999999998</v>
      </c>
      <c r="Z29" s="4">
        <v>6399.5168999999996</v>
      </c>
      <c r="AA29" s="4">
        <v>51361.490100000003</v>
      </c>
      <c r="AB29" s="4">
        <v>157137.35509999999</v>
      </c>
      <c r="AC29" s="4">
        <v>65182.392599999999</v>
      </c>
      <c r="AD29" s="4">
        <v>91954.962499999994</v>
      </c>
      <c r="AE29" s="4">
        <v>51981.387199999997</v>
      </c>
      <c r="AF29" s="4">
        <v>3292.6329999999998</v>
      </c>
      <c r="AG29" s="4">
        <v>1537.5753572900001</v>
      </c>
    </row>
    <row r="30" spans="1:33" x14ac:dyDescent="0.2">
      <c r="A30" s="3">
        <v>39965</v>
      </c>
      <c r="B30" s="4">
        <v>165113.2623</v>
      </c>
      <c r="C30" s="4">
        <v>17128.714</v>
      </c>
      <c r="D30" s="4">
        <v>5114.1216000000004</v>
      </c>
      <c r="E30" s="4">
        <v>12014.5924</v>
      </c>
      <c r="F30" s="5">
        <v>3596.3993</v>
      </c>
      <c r="G30" s="4">
        <v>1236.9783</v>
      </c>
      <c r="H30" s="4">
        <v>2359.4211</v>
      </c>
      <c r="I30" s="4">
        <v>-1649.7114999999999</v>
      </c>
      <c r="J30" s="5">
        <v>2190.1873999999998</v>
      </c>
      <c r="K30" s="4">
        <v>0.65790000000000004</v>
      </c>
      <c r="L30" s="4">
        <v>2189.5295000000001</v>
      </c>
      <c r="M30" s="4">
        <v>92215.126499999998</v>
      </c>
      <c r="N30" s="4">
        <v>86302.611099999995</v>
      </c>
      <c r="O30" s="4">
        <v>4609.665</v>
      </c>
      <c r="P30" s="4">
        <v>1302.8504</v>
      </c>
      <c r="Q30" s="4">
        <v>217.82669999999999</v>
      </c>
      <c r="R30" s="4">
        <v>217.82669999999999</v>
      </c>
      <c r="S30" s="4">
        <v>51414.720000000001</v>
      </c>
      <c r="T30" s="4">
        <v>-123266.5469</v>
      </c>
      <c r="U30" s="4">
        <v>288379.80920000002</v>
      </c>
      <c r="V30" s="4">
        <v>16178.5008</v>
      </c>
      <c r="W30" s="4">
        <v>250.84710000000001</v>
      </c>
      <c r="X30" s="4">
        <v>15927.653700000001</v>
      </c>
      <c r="Y30" s="4">
        <v>54619.913500000002</v>
      </c>
      <c r="Z30" s="4">
        <v>4636.6952000000001</v>
      </c>
      <c r="AA30" s="4">
        <v>49983.2183</v>
      </c>
      <c r="AB30" s="4">
        <v>165372.33850000001</v>
      </c>
      <c r="AC30" s="4">
        <v>77086.432400000005</v>
      </c>
      <c r="AD30" s="4">
        <v>88285.906099999993</v>
      </c>
      <c r="AE30" s="4">
        <v>52209.056499999999</v>
      </c>
      <c r="AF30" s="4">
        <v>2673.9194000000002</v>
      </c>
      <c r="AG30" s="4">
        <v>1530.5916558599999</v>
      </c>
    </row>
    <row r="31" spans="1:33" x14ac:dyDescent="0.2">
      <c r="A31" s="3">
        <v>40057</v>
      </c>
      <c r="B31" s="4">
        <v>167953.9878</v>
      </c>
      <c r="C31" s="4">
        <v>18356.202499999999</v>
      </c>
      <c r="D31" s="4">
        <v>5175.5355</v>
      </c>
      <c r="E31" s="4">
        <v>13180.666999999999</v>
      </c>
      <c r="F31" s="5">
        <v>4656.5396000000001</v>
      </c>
      <c r="G31" s="4">
        <v>1157.5677000000001</v>
      </c>
      <c r="H31" s="4">
        <v>3498.9720000000002</v>
      </c>
      <c r="I31" s="4">
        <v>-1883.6404</v>
      </c>
      <c r="J31" s="5">
        <v>2326.9508000000001</v>
      </c>
      <c r="K31" s="4">
        <v>0.55659999999999998</v>
      </c>
      <c r="L31" s="4">
        <v>2326.3942000000002</v>
      </c>
      <c r="M31" s="4">
        <v>98272.240099999995</v>
      </c>
      <c r="N31" s="4">
        <v>91796.199399999998</v>
      </c>
      <c r="O31" s="4">
        <v>4734.3906999999999</v>
      </c>
      <c r="P31" s="4">
        <v>1741.6501000000001</v>
      </c>
      <c r="Q31" s="4">
        <v>231.41399999999999</v>
      </c>
      <c r="R31" s="4">
        <v>231.41399999999999</v>
      </c>
      <c r="S31" s="4">
        <v>45994.2811</v>
      </c>
      <c r="T31" s="4">
        <v>-122077.5941</v>
      </c>
      <c r="U31" s="4">
        <v>290031.58189999999</v>
      </c>
      <c r="V31" s="4">
        <v>17302.810399999998</v>
      </c>
      <c r="W31" s="4">
        <v>253.48849999999999</v>
      </c>
      <c r="X31" s="4">
        <v>17049.321899999999</v>
      </c>
      <c r="Y31" s="4">
        <v>55529.199200000003</v>
      </c>
      <c r="Z31" s="4">
        <v>3921.4524000000001</v>
      </c>
      <c r="AA31" s="4">
        <v>51607.746800000001</v>
      </c>
      <c r="AB31" s="4">
        <v>169901.34020000001</v>
      </c>
      <c r="AC31" s="4">
        <v>81839.883199999997</v>
      </c>
      <c r="AD31" s="4">
        <v>88061.456900000005</v>
      </c>
      <c r="AE31" s="4">
        <v>47298.232199999999</v>
      </c>
      <c r="AF31" s="4">
        <v>2982.2856999999999</v>
      </c>
      <c r="AG31" s="4">
        <v>1583.8192750200001</v>
      </c>
    </row>
    <row r="32" spans="1:33" x14ac:dyDescent="0.2">
      <c r="A32" s="3">
        <v>40148</v>
      </c>
      <c r="B32" s="4">
        <v>171796.42660000001</v>
      </c>
      <c r="C32" s="4">
        <v>20741.858499999998</v>
      </c>
      <c r="D32" s="4">
        <v>5754.9809999999998</v>
      </c>
      <c r="E32" s="4">
        <v>14986.877500000001</v>
      </c>
      <c r="F32" s="5">
        <v>3862.0635000000002</v>
      </c>
      <c r="G32" s="4">
        <v>1121.9072000000001</v>
      </c>
      <c r="H32" s="4">
        <v>2740.1563000000001</v>
      </c>
      <c r="I32" s="4">
        <v>-1499.6821</v>
      </c>
      <c r="J32" s="5">
        <v>2059.6685000000002</v>
      </c>
      <c r="K32" s="4">
        <v>0.52990000000000004</v>
      </c>
      <c r="L32" s="4">
        <v>2059.1387</v>
      </c>
      <c r="M32" s="4">
        <v>101842.6393</v>
      </c>
      <c r="N32" s="4">
        <v>95177.974799999996</v>
      </c>
      <c r="O32" s="4">
        <v>4825.7483000000002</v>
      </c>
      <c r="P32" s="4">
        <v>1838.9161999999999</v>
      </c>
      <c r="Q32" s="4">
        <v>215.15710000000001</v>
      </c>
      <c r="R32" s="4">
        <v>215.15710000000001</v>
      </c>
      <c r="S32" s="4">
        <v>44574.721700000002</v>
      </c>
      <c r="T32" s="4">
        <v>-120535.45389999999</v>
      </c>
      <c r="U32" s="4">
        <v>292331.88050000003</v>
      </c>
      <c r="V32" s="4">
        <v>17164.261200000001</v>
      </c>
      <c r="W32" s="4">
        <v>216.82390000000001</v>
      </c>
      <c r="X32" s="4">
        <v>16947.437300000001</v>
      </c>
      <c r="Y32" s="4">
        <v>56069.803200000002</v>
      </c>
      <c r="Z32" s="4">
        <v>3478.6948000000002</v>
      </c>
      <c r="AA32" s="4">
        <v>52591.108399999997</v>
      </c>
      <c r="AB32" s="4">
        <v>173456.91589999999</v>
      </c>
      <c r="AC32" s="4">
        <v>86920.4614</v>
      </c>
      <c r="AD32" s="4">
        <v>86536.454500000007</v>
      </c>
      <c r="AE32" s="4">
        <v>45640.900199999996</v>
      </c>
      <c r="AF32" s="4">
        <v>3155.2239</v>
      </c>
      <c r="AG32" s="4">
        <v>1816.26203773</v>
      </c>
    </row>
    <row r="33" spans="1:33" x14ac:dyDescent="0.2">
      <c r="A33" s="3">
        <v>40238</v>
      </c>
      <c r="B33" s="4">
        <v>178218.57980000001</v>
      </c>
      <c r="C33" s="4">
        <v>20788.483</v>
      </c>
      <c r="D33" s="4">
        <v>5739.0805</v>
      </c>
      <c r="E33" s="4">
        <v>15049.4025</v>
      </c>
      <c r="F33" s="5">
        <v>3993.1021000000001</v>
      </c>
      <c r="G33" s="4">
        <v>1146.5642</v>
      </c>
      <c r="H33" s="4">
        <v>2846.5378999999998</v>
      </c>
      <c r="I33" s="4">
        <v>-2087.8543</v>
      </c>
      <c r="J33" s="5">
        <v>2255.1713</v>
      </c>
      <c r="K33" s="4">
        <v>0.47089999999999999</v>
      </c>
      <c r="L33" s="4">
        <v>2254.7004999999999</v>
      </c>
      <c r="M33" s="4">
        <v>107444.2227</v>
      </c>
      <c r="N33" s="4">
        <v>100343.3064</v>
      </c>
      <c r="O33" s="4">
        <v>4801.616</v>
      </c>
      <c r="P33" s="4">
        <v>2299.3004000000001</v>
      </c>
      <c r="Q33" s="4">
        <v>239.52520000000001</v>
      </c>
      <c r="R33" s="4">
        <v>239.52520000000001</v>
      </c>
      <c r="S33" s="4">
        <v>45585.929600000003</v>
      </c>
      <c r="T33" s="4">
        <v>-124251.2626</v>
      </c>
      <c r="U33" s="4">
        <v>302469.84240000002</v>
      </c>
      <c r="V33" s="4">
        <v>17734.466400000001</v>
      </c>
      <c r="W33" s="4">
        <v>156.87450000000001</v>
      </c>
      <c r="X33" s="4">
        <v>17577.591899999999</v>
      </c>
      <c r="Y33" s="4">
        <v>57631.056799999998</v>
      </c>
      <c r="Z33" s="4">
        <v>3981.8204000000001</v>
      </c>
      <c r="AA33" s="4">
        <v>53649.236400000002</v>
      </c>
      <c r="AB33" s="4">
        <v>180947.68669999999</v>
      </c>
      <c r="AC33" s="4">
        <v>91317.205799999996</v>
      </c>
      <c r="AD33" s="4">
        <v>89630.480899999995</v>
      </c>
      <c r="AE33" s="4">
        <v>46156.6325</v>
      </c>
      <c r="AF33" s="4">
        <v>3319.0092</v>
      </c>
      <c r="AG33" s="4">
        <v>1705.8724688</v>
      </c>
    </row>
    <row r="34" spans="1:33" x14ac:dyDescent="0.2">
      <c r="A34" s="3">
        <v>40330</v>
      </c>
      <c r="B34" s="4">
        <v>185762.4</v>
      </c>
      <c r="C34" s="4">
        <v>21300.859499999999</v>
      </c>
      <c r="D34" s="4">
        <v>6181.9059999999999</v>
      </c>
      <c r="E34" s="4">
        <v>15118.9535</v>
      </c>
      <c r="F34" s="5">
        <v>4505.4049999999997</v>
      </c>
      <c r="G34" s="4">
        <v>1192.0894000000001</v>
      </c>
      <c r="H34" s="4">
        <v>3313.3157000000001</v>
      </c>
      <c r="I34" s="4">
        <v>-1748.7601999999999</v>
      </c>
      <c r="J34" s="5">
        <v>2553.0508</v>
      </c>
      <c r="K34" s="4">
        <v>0.50509999999999999</v>
      </c>
      <c r="L34" s="4">
        <v>2552.5457000000001</v>
      </c>
      <c r="M34" s="4">
        <v>113198.5606</v>
      </c>
      <c r="N34" s="4">
        <v>106134.34510000001</v>
      </c>
      <c r="O34" s="4">
        <v>4497.1751000000004</v>
      </c>
      <c r="P34" s="4">
        <v>2567.0403999999999</v>
      </c>
      <c r="Q34" s="4">
        <v>356.113</v>
      </c>
      <c r="R34" s="4">
        <v>356.113</v>
      </c>
      <c r="S34" s="4">
        <v>45597.171399999999</v>
      </c>
      <c r="T34" s="4">
        <v>-127220.80710000001</v>
      </c>
      <c r="U34" s="4">
        <v>312983.2071</v>
      </c>
      <c r="V34" s="4">
        <v>18512.351600000002</v>
      </c>
      <c r="W34" s="4">
        <v>157.91800000000001</v>
      </c>
      <c r="X34" s="4">
        <v>18354.4336</v>
      </c>
      <c r="Y34" s="4">
        <v>60162.225700000003</v>
      </c>
      <c r="Z34" s="4">
        <v>4321.2579999999998</v>
      </c>
      <c r="AA34" s="4">
        <v>55840.967700000001</v>
      </c>
      <c r="AB34" s="4">
        <v>187191.17660000001</v>
      </c>
      <c r="AC34" s="4">
        <v>96475.570500000002</v>
      </c>
      <c r="AD34" s="4">
        <v>90715.606100000005</v>
      </c>
      <c r="AE34" s="4">
        <v>47117.453099999999</v>
      </c>
      <c r="AF34" s="4">
        <v>3688.8761</v>
      </c>
      <c r="AG34" s="4">
        <v>1857.8362632400001</v>
      </c>
    </row>
    <row r="35" spans="1:33" x14ac:dyDescent="0.2">
      <c r="A35" s="3">
        <v>40422</v>
      </c>
      <c r="B35" s="4">
        <v>199834.36989999999</v>
      </c>
      <c r="C35" s="4">
        <v>23710.738700000002</v>
      </c>
      <c r="D35" s="4">
        <v>5874.9098999999997</v>
      </c>
      <c r="E35" s="4">
        <v>17835.8289</v>
      </c>
      <c r="F35" s="5">
        <v>5334.3702000000003</v>
      </c>
      <c r="G35" s="4">
        <v>1248.7693999999999</v>
      </c>
      <c r="H35" s="4">
        <v>4085.6008000000002</v>
      </c>
      <c r="I35" s="4">
        <v>-2090.5992000000001</v>
      </c>
      <c r="J35" s="5">
        <v>2309.3449999999998</v>
      </c>
      <c r="K35" s="4">
        <v>0.47770000000000001</v>
      </c>
      <c r="L35" s="4">
        <v>2308.8672999999999</v>
      </c>
      <c r="M35" s="4">
        <v>121708.5713</v>
      </c>
      <c r="N35" s="4">
        <v>115283.5566</v>
      </c>
      <c r="O35" s="4">
        <v>3422.3400999999999</v>
      </c>
      <c r="P35" s="4">
        <v>3002.6745999999998</v>
      </c>
      <c r="Q35" s="4">
        <v>371.95929999999998</v>
      </c>
      <c r="R35" s="4">
        <v>371.95929999999998</v>
      </c>
      <c r="S35" s="4">
        <v>48489.984600000003</v>
      </c>
      <c r="T35" s="4">
        <v>-129961.0769</v>
      </c>
      <c r="U35" s="4">
        <v>329795.44679999998</v>
      </c>
      <c r="V35" s="4">
        <v>18406.582200000001</v>
      </c>
      <c r="W35" s="4">
        <v>124.8351</v>
      </c>
      <c r="X35" s="4">
        <v>18281.747100000001</v>
      </c>
      <c r="Y35" s="4">
        <v>58548.844299999997</v>
      </c>
      <c r="Z35" s="4">
        <v>3988.8418999999999</v>
      </c>
      <c r="AA35" s="4">
        <v>54560.002500000002</v>
      </c>
      <c r="AB35" s="4">
        <v>201230.93780000001</v>
      </c>
      <c r="AC35" s="4">
        <v>110922.8241</v>
      </c>
      <c r="AD35" s="4">
        <v>90308.113700000002</v>
      </c>
      <c r="AE35" s="4">
        <v>51609.082499999997</v>
      </c>
      <c r="AF35" s="4">
        <v>3482.4578999999999</v>
      </c>
      <c r="AG35" s="4">
        <v>1867.5653666799999</v>
      </c>
    </row>
    <row r="36" spans="1:33" x14ac:dyDescent="0.2">
      <c r="A36" s="3">
        <v>40513</v>
      </c>
      <c r="B36" s="4">
        <v>214079.63560000001</v>
      </c>
      <c r="C36" s="4">
        <v>25954.047399999999</v>
      </c>
      <c r="D36" s="4">
        <v>6890.9925999999996</v>
      </c>
      <c r="E36" s="4">
        <v>19063.054800000002</v>
      </c>
      <c r="F36" s="5">
        <v>4476.7433000000001</v>
      </c>
      <c r="G36" s="4">
        <v>1078.26</v>
      </c>
      <c r="H36" s="4">
        <v>3398.4832999999999</v>
      </c>
      <c r="I36" s="4">
        <v>-2230.1903000000002</v>
      </c>
      <c r="J36" s="5">
        <v>2191.0259999999998</v>
      </c>
      <c r="K36" s="4">
        <v>0.46810000000000002</v>
      </c>
      <c r="L36" s="4">
        <v>2190.5578999999998</v>
      </c>
      <c r="M36" s="4">
        <v>129521.6458</v>
      </c>
      <c r="N36" s="4">
        <v>122900.9629</v>
      </c>
      <c r="O36" s="4">
        <v>3597.6208999999999</v>
      </c>
      <c r="P36" s="4">
        <v>3023.0619999999999</v>
      </c>
      <c r="Q36" s="4">
        <v>342.72329999999999</v>
      </c>
      <c r="R36" s="4">
        <v>342.72329999999999</v>
      </c>
      <c r="S36" s="4">
        <v>53823.640200000002</v>
      </c>
      <c r="T36" s="4">
        <v>-129754.73759999999</v>
      </c>
      <c r="U36" s="4">
        <v>343834.37329999998</v>
      </c>
      <c r="V36" s="4">
        <v>18835.041399999998</v>
      </c>
      <c r="W36" s="4">
        <v>92.704599999999999</v>
      </c>
      <c r="X36" s="4">
        <v>18742.336899999998</v>
      </c>
      <c r="Y36" s="4">
        <v>58849.190600000002</v>
      </c>
      <c r="Z36" s="4">
        <v>3568.9521</v>
      </c>
      <c r="AA36" s="4">
        <v>55280.238499999999</v>
      </c>
      <c r="AB36" s="4">
        <v>209882.87530000001</v>
      </c>
      <c r="AC36" s="4">
        <v>115565.0287</v>
      </c>
      <c r="AD36" s="4">
        <v>94317.8465</v>
      </c>
      <c r="AE36" s="4">
        <v>56267.265899999999</v>
      </c>
      <c r="AF36" s="4">
        <v>3699.6655000000001</v>
      </c>
      <c r="AG36" s="4">
        <v>2061.15988767</v>
      </c>
    </row>
    <row r="37" spans="1:33" x14ac:dyDescent="0.2">
      <c r="A37" s="3">
        <v>40603</v>
      </c>
      <c r="B37" s="4">
        <v>222188.23939999999</v>
      </c>
      <c r="C37" s="4">
        <v>28131.052299999999</v>
      </c>
      <c r="D37" s="4">
        <v>6808.5329000000002</v>
      </c>
      <c r="E37" s="4">
        <v>21322.519499999999</v>
      </c>
      <c r="F37" s="5">
        <v>4780.7641000000003</v>
      </c>
      <c r="G37" s="4">
        <v>1053.1342</v>
      </c>
      <c r="H37" s="4">
        <v>3727.6298999999999</v>
      </c>
      <c r="I37" s="4">
        <v>-2175.1179999999999</v>
      </c>
      <c r="J37" s="5">
        <v>2509.3561</v>
      </c>
      <c r="K37" s="4">
        <v>0.438</v>
      </c>
      <c r="L37" s="4">
        <v>2508.9180999999999</v>
      </c>
      <c r="M37" s="4">
        <v>132648.8481</v>
      </c>
      <c r="N37" s="4">
        <v>126379.19620000001</v>
      </c>
      <c r="O37" s="4">
        <v>3104.6695</v>
      </c>
      <c r="P37" s="4">
        <v>3164.9823000000001</v>
      </c>
      <c r="Q37" s="4">
        <v>322.58580000000001</v>
      </c>
      <c r="R37" s="4">
        <v>322.58580000000001</v>
      </c>
      <c r="S37" s="4">
        <v>55970.750999999997</v>
      </c>
      <c r="T37" s="4">
        <v>-130883.66039999999</v>
      </c>
      <c r="U37" s="4">
        <v>353071.89980000001</v>
      </c>
      <c r="V37" s="4">
        <v>20086.495900000002</v>
      </c>
      <c r="W37" s="4">
        <v>81.582700000000003</v>
      </c>
      <c r="X37" s="4">
        <v>20004.913199999999</v>
      </c>
      <c r="Y37" s="4">
        <v>60877.056199999999</v>
      </c>
      <c r="Z37" s="4">
        <v>4680.7371999999996</v>
      </c>
      <c r="AA37" s="4">
        <v>56196.319000000003</v>
      </c>
      <c r="AB37" s="4">
        <v>213447.36970000001</v>
      </c>
      <c r="AC37" s="4">
        <v>110941.1593</v>
      </c>
      <c r="AD37" s="4">
        <v>102506.2104</v>
      </c>
      <c r="AE37" s="4">
        <v>58660.978000000003</v>
      </c>
      <c r="AF37" s="4">
        <v>4059.2238000000002</v>
      </c>
      <c r="AG37" s="4">
        <v>1952.7717063499999</v>
      </c>
    </row>
    <row r="38" spans="1:33" x14ac:dyDescent="0.2">
      <c r="A38" s="3">
        <v>40695</v>
      </c>
      <c r="B38" s="4">
        <v>230364.32120000001</v>
      </c>
      <c r="C38" s="4">
        <v>27303.750400000001</v>
      </c>
      <c r="D38" s="4">
        <v>6874.4422000000004</v>
      </c>
      <c r="E38" s="4">
        <v>20429.308199999999</v>
      </c>
      <c r="F38" s="5">
        <v>4633.5598</v>
      </c>
      <c r="G38" s="4">
        <v>1210.0191</v>
      </c>
      <c r="H38" s="4">
        <v>3423.5407</v>
      </c>
      <c r="I38" s="4">
        <v>-1949.1379999999999</v>
      </c>
      <c r="J38" s="5">
        <v>2619.0414999999998</v>
      </c>
      <c r="K38" s="4">
        <v>0.45860000000000001</v>
      </c>
      <c r="L38" s="4">
        <v>2618.5830000000001</v>
      </c>
      <c r="M38" s="4">
        <v>140752.6845</v>
      </c>
      <c r="N38" s="4">
        <v>134493.11079999999</v>
      </c>
      <c r="O38" s="4">
        <v>3149.8773000000001</v>
      </c>
      <c r="P38" s="4">
        <v>3109.6965</v>
      </c>
      <c r="Q38" s="4">
        <v>323.26729999999998</v>
      </c>
      <c r="R38" s="4">
        <v>323.26729999999998</v>
      </c>
      <c r="S38" s="4">
        <v>56681.155700000003</v>
      </c>
      <c r="T38" s="4">
        <v>-135072.44330000001</v>
      </c>
      <c r="U38" s="4">
        <v>365436.76449999999</v>
      </c>
      <c r="V38" s="4">
        <v>20363.639599999999</v>
      </c>
      <c r="W38" s="4">
        <v>115.5275</v>
      </c>
      <c r="X38" s="4">
        <v>20248.112099999998</v>
      </c>
      <c r="Y38" s="4">
        <v>62636.955000000002</v>
      </c>
      <c r="Z38" s="4">
        <v>4995.5589</v>
      </c>
      <c r="AA38" s="4">
        <v>57641.396099999998</v>
      </c>
      <c r="AB38" s="4">
        <v>222398.57509999999</v>
      </c>
      <c r="AC38" s="4">
        <v>113495.3395</v>
      </c>
      <c r="AD38" s="4">
        <v>108903.2357</v>
      </c>
      <c r="AE38" s="4">
        <v>60037.594799999999</v>
      </c>
      <c r="AF38" s="4">
        <v>4249.4677000000001</v>
      </c>
      <c r="AG38" s="4">
        <v>1993.015404</v>
      </c>
    </row>
    <row r="39" spans="1:33" x14ac:dyDescent="0.2">
      <c r="A39" s="3">
        <v>40787</v>
      </c>
      <c r="B39" s="4">
        <v>219946.473</v>
      </c>
      <c r="C39" s="4">
        <v>27531.777999999998</v>
      </c>
      <c r="D39" s="4">
        <v>6418.9233999999997</v>
      </c>
      <c r="E39" s="4">
        <v>21112.8547</v>
      </c>
      <c r="F39" s="5">
        <v>3662.9956000000002</v>
      </c>
      <c r="G39" s="4">
        <v>1327.0496000000001</v>
      </c>
      <c r="H39" s="4">
        <v>2335.9459000000002</v>
      </c>
      <c r="I39" s="4">
        <v>-1544.2056</v>
      </c>
      <c r="J39" s="5">
        <v>3050.2082999999998</v>
      </c>
      <c r="K39" s="4">
        <v>0.55089999999999995</v>
      </c>
      <c r="L39" s="4">
        <v>3049.6574000000001</v>
      </c>
      <c r="M39" s="4">
        <v>132139.0134</v>
      </c>
      <c r="N39" s="4">
        <v>126223.2199</v>
      </c>
      <c r="O39" s="4">
        <v>3334.7422000000001</v>
      </c>
      <c r="P39" s="4">
        <v>2581.0513000000001</v>
      </c>
      <c r="Q39" s="4">
        <v>322.38920000000002</v>
      </c>
      <c r="R39" s="4">
        <v>322.38920000000002</v>
      </c>
      <c r="S39" s="4">
        <v>54784.294099999999</v>
      </c>
      <c r="T39" s="4">
        <v>-139488.42989999999</v>
      </c>
      <c r="U39" s="4">
        <v>359434.90289999999</v>
      </c>
      <c r="V39" s="4">
        <v>21113.625499999998</v>
      </c>
      <c r="W39" s="4">
        <v>111.43429999999999</v>
      </c>
      <c r="X39" s="4">
        <v>21002.191200000001</v>
      </c>
      <c r="Y39" s="4">
        <v>67084.108800000002</v>
      </c>
      <c r="Z39" s="4">
        <v>5959.6032999999998</v>
      </c>
      <c r="AA39" s="4">
        <v>61124.505499999999</v>
      </c>
      <c r="AB39" s="4">
        <v>210917.44680000001</v>
      </c>
      <c r="AC39" s="4">
        <v>93799.272700000001</v>
      </c>
      <c r="AD39" s="4">
        <v>117118.1741</v>
      </c>
      <c r="AE39" s="4">
        <v>60319.721799999999</v>
      </c>
      <c r="AF39" s="4">
        <v>5130.5262000000002</v>
      </c>
      <c r="AG39" s="4">
        <v>2017.8661380000001</v>
      </c>
    </row>
    <row r="40" spans="1:33" x14ac:dyDescent="0.2">
      <c r="A40" s="3">
        <v>40878</v>
      </c>
      <c r="B40" s="4">
        <v>238104.16800000001</v>
      </c>
      <c r="C40" s="4">
        <v>31205.03</v>
      </c>
      <c r="D40" s="4">
        <v>8296.7360000000008</v>
      </c>
      <c r="E40" s="4">
        <v>22908.294000000002</v>
      </c>
      <c r="F40" s="5">
        <v>6657.2268999999997</v>
      </c>
      <c r="G40" s="4">
        <v>788.95439999999996</v>
      </c>
      <c r="H40" s="4">
        <v>5868.2725</v>
      </c>
      <c r="I40" s="4">
        <v>-1307.2855</v>
      </c>
      <c r="J40" s="5">
        <v>3726.0549999999998</v>
      </c>
      <c r="K40" s="4">
        <v>0.68940000000000001</v>
      </c>
      <c r="L40" s="4">
        <v>3725.3654999999999</v>
      </c>
      <c r="M40" s="4">
        <v>136568.7469</v>
      </c>
      <c r="N40" s="4">
        <v>130849.3765</v>
      </c>
      <c r="O40" s="4">
        <v>3285.7892000000002</v>
      </c>
      <c r="P40" s="4">
        <v>2433.5812000000001</v>
      </c>
      <c r="Q40" s="4">
        <v>344.01870000000002</v>
      </c>
      <c r="R40" s="4">
        <v>344.01870000000002</v>
      </c>
      <c r="S40" s="4">
        <v>60910.375999999997</v>
      </c>
      <c r="T40" s="4">
        <v>-142146.522</v>
      </c>
      <c r="U40" s="4">
        <v>380250.69</v>
      </c>
      <c r="V40" s="4">
        <v>22129.843199999999</v>
      </c>
      <c r="W40" s="4">
        <v>90.750699999999995</v>
      </c>
      <c r="X40" s="4">
        <v>22039.092499999999</v>
      </c>
      <c r="Y40" s="4">
        <v>69437.503700000001</v>
      </c>
      <c r="Z40" s="4">
        <v>5594.6377000000002</v>
      </c>
      <c r="AA40" s="4">
        <v>63842.866000000002</v>
      </c>
      <c r="AB40" s="4">
        <v>221752.9749</v>
      </c>
      <c r="AC40" s="4">
        <v>99777.6967</v>
      </c>
      <c r="AD40" s="4">
        <v>121975.2782</v>
      </c>
      <c r="AE40" s="4">
        <v>66930.368199999997</v>
      </c>
      <c r="AF40" s="4">
        <v>5046.0149000000001</v>
      </c>
      <c r="AG40" s="4">
        <v>2355.901507</v>
      </c>
    </row>
    <row r="41" spans="1:33" x14ac:dyDescent="0.2">
      <c r="A41" s="3">
        <v>40969</v>
      </c>
      <c r="B41" s="4">
        <v>239427.37460000001</v>
      </c>
      <c r="C41" s="4">
        <v>29522.0452</v>
      </c>
      <c r="D41" s="4">
        <v>7027.7920000000004</v>
      </c>
      <c r="E41" s="4">
        <v>22494.253199999999</v>
      </c>
      <c r="F41" s="5">
        <v>6222.3261000000002</v>
      </c>
      <c r="G41" s="4">
        <v>748.67960000000005</v>
      </c>
      <c r="H41" s="4">
        <v>5473.6464999999998</v>
      </c>
      <c r="I41" s="4">
        <v>-1452.2677000000001</v>
      </c>
      <c r="J41" s="5">
        <v>4023.0558999999998</v>
      </c>
      <c r="K41" s="4">
        <v>0.80200000000000005</v>
      </c>
      <c r="L41" s="4">
        <v>4022.2539000000002</v>
      </c>
      <c r="M41" s="4">
        <v>136293.7917</v>
      </c>
      <c r="N41" s="4">
        <v>130312.7395</v>
      </c>
      <c r="O41" s="4">
        <v>3233.998</v>
      </c>
      <c r="P41" s="4">
        <v>2747.0542</v>
      </c>
      <c r="Q41" s="4">
        <v>347.78100000000001</v>
      </c>
      <c r="R41" s="4">
        <v>347.78100000000001</v>
      </c>
      <c r="S41" s="4">
        <v>64470.6423</v>
      </c>
      <c r="T41" s="4">
        <v>-150410.87049999999</v>
      </c>
      <c r="U41" s="4">
        <v>389838.2451</v>
      </c>
      <c r="V41" s="4">
        <v>22257.8737</v>
      </c>
      <c r="W41" s="4">
        <v>112.79430000000001</v>
      </c>
      <c r="X41" s="4">
        <v>22145.079300000001</v>
      </c>
      <c r="Y41" s="4">
        <v>69525.434200000003</v>
      </c>
      <c r="Z41" s="4">
        <v>5001.2891</v>
      </c>
      <c r="AA41" s="4">
        <v>64524.144999999997</v>
      </c>
      <c r="AB41" s="4">
        <v>226773.43900000001</v>
      </c>
      <c r="AC41" s="4">
        <v>109519.21460000001</v>
      </c>
      <c r="AD41" s="4">
        <v>117254.22440000001</v>
      </c>
      <c r="AE41" s="4">
        <v>71281.498200000002</v>
      </c>
      <c r="AF41" s="4">
        <v>4418.2006000000001</v>
      </c>
      <c r="AG41" s="4">
        <v>2200.1839829999999</v>
      </c>
    </row>
    <row r="42" spans="1:33" x14ac:dyDescent="0.2">
      <c r="A42" s="3">
        <v>41061</v>
      </c>
      <c r="B42" s="4">
        <v>234718.24849999999</v>
      </c>
      <c r="C42" s="4">
        <v>30619.9614</v>
      </c>
      <c r="D42" s="4">
        <v>7172.0198</v>
      </c>
      <c r="E42" s="4">
        <v>23447.941599999998</v>
      </c>
      <c r="F42" s="5">
        <v>6438.7321000000002</v>
      </c>
      <c r="G42" s="4">
        <v>826.86869999999999</v>
      </c>
      <c r="H42" s="4">
        <v>5611.8635000000004</v>
      </c>
      <c r="I42" s="4">
        <v>-1424.5654</v>
      </c>
      <c r="J42" s="5">
        <v>4530.7286999999997</v>
      </c>
      <c r="K42" s="4">
        <v>0.71040000000000003</v>
      </c>
      <c r="L42" s="4">
        <v>4530.0182999999997</v>
      </c>
      <c r="M42" s="4">
        <v>129951.3097</v>
      </c>
      <c r="N42" s="4">
        <v>123988.1352</v>
      </c>
      <c r="O42" s="4">
        <v>3378.9931000000001</v>
      </c>
      <c r="P42" s="4">
        <v>2584.1813000000002</v>
      </c>
      <c r="Q42" s="4">
        <v>366.80239999999998</v>
      </c>
      <c r="R42" s="4">
        <v>366.80239999999998</v>
      </c>
      <c r="S42" s="4">
        <v>64235.279600000002</v>
      </c>
      <c r="T42" s="4">
        <v>-157527.2262</v>
      </c>
      <c r="U42" s="4">
        <v>392245.47470000002</v>
      </c>
      <c r="V42" s="4">
        <v>22851.2749</v>
      </c>
      <c r="W42" s="4">
        <v>99.195700000000002</v>
      </c>
      <c r="X42" s="4">
        <v>22752.079300000001</v>
      </c>
      <c r="Y42" s="4">
        <v>73948.467099999994</v>
      </c>
      <c r="Z42" s="4">
        <v>5790.7377999999999</v>
      </c>
      <c r="AA42" s="4">
        <v>68157.729300000006</v>
      </c>
      <c r="AB42" s="4">
        <v>223557.93460000001</v>
      </c>
      <c r="AC42" s="4">
        <v>105471.50719999999</v>
      </c>
      <c r="AD42" s="4">
        <v>118086.4274</v>
      </c>
      <c r="AE42" s="4">
        <v>71887.7981</v>
      </c>
      <c r="AF42" s="4">
        <v>4500.9250000000002</v>
      </c>
      <c r="AG42" s="4">
        <v>2204.6262820000002</v>
      </c>
    </row>
    <row r="43" spans="1:33" x14ac:dyDescent="0.2">
      <c r="A43" s="3">
        <v>41153</v>
      </c>
      <c r="B43" s="4">
        <v>234812.43</v>
      </c>
      <c r="C43" s="4">
        <v>30640.282800000001</v>
      </c>
      <c r="D43" s="4">
        <v>6680.9809999999998</v>
      </c>
      <c r="E43" s="4">
        <v>23959.301899999999</v>
      </c>
      <c r="F43" s="5">
        <v>6459.9152999999997</v>
      </c>
      <c r="G43" s="4">
        <v>797.30529999999999</v>
      </c>
      <c r="H43" s="4">
        <v>5662.6100999999999</v>
      </c>
      <c r="I43" s="4">
        <v>-1374.0534</v>
      </c>
      <c r="J43" s="5">
        <v>4912.7525999999998</v>
      </c>
      <c r="K43" s="4">
        <v>0.95569999999999999</v>
      </c>
      <c r="L43" s="4">
        <v>4911.7969999999996</v>
      </c>
      <c r="M43" s="4">
        <v>128981.19070000001</v>
      </c>
      <c r="N43" s="4">
        <v>123145.182</v>
      </c>
      <c r="O43" s="4">
        <v>3496.5765999999999</v>
      </c>
      <c r="P43" s="4">
        <v>2339.4319999999998</v>
      </c>
      <c r="Q43" s="4">
        <v>362.39030000000002</v>
      </c>
      <c r="R43" s="4">
        <v>362.39030000000002</v>
      </c>
      <c r="S43" s="4">
        <v>64829.9516</v>
      </c>
      <c r="T43" s="4">
        <v>-158716.07670000001</v>
      </c>
      <c r="U43" s="4">
        <v>393528.50670000003</v>
      </c>
      <c r="V43" s="4">
        <v>23147.789199999999</v>
      </c>
      <c r="W43" s="4">
        <v>67.912300000000002</v>
      </c>
      <c r="X43" s="4">
        <v>23079.876899999999</v>
      </c>
      <c r="Y43" s="4">
        <v>75161.458400000003</v>
      </c>
      <c r="Z43" s="4">
        <v>7066.6796999999997</v>
      </c>
      <c r="AA43" s="4">
        <v>68094.778600000005</v>
      </c>
      <c r="AB43" s="4">
        <v>222243.15359999999</v>
      </c>
      <c r="AC43" s="4">
        <v>104739.20630000001</v>
      </c>
      <c r="AD43" s="4">
        <v>117503.9473</v>
      </c>
      <c r="AE43" s="4">
        <v>72976.105500000005</v>
      </c>
      <c r="AF43" s="4">
        <v>3996.1790000000001</v>
      </c>
      <c r="AG43" s="4">
        <v>2207.1358759999998</v>
      </c>
    </row>
    <row r="44" spans="1:33" x14ac:dyDescent="0.2">
      <c r="A44" s="3">
        <v>41244</v>
      </c>
      <c r="B44" s="4">
        <v>243960.50810000001</v>
      </c>
      <c r="C44" s="4">
        <v>33823.942600000002</v>
      </c>
      <c r="D44" s="4">
        <v>7900.0047999999997</v>
      </c>
      <c r="E44" s="4">
        <v>25923.9378</v>
      </c>
      <c r="F44" s="5">
        <v>7908.4029</v>
      </c>
      <c r="G44" s="4">
        <v>1051.8054999999999</v>
      </c>
      <c r="H44" s="4">
        <v>6856.5973999999997</v>
      </c>
      <c r="I44" s="4">
        <v>-1634.3878</v>
      </c>
      <c r="J44" s="5">
        <v>5175.5441000000001</v>
      </c>
      <c r="K44" s="4">
        <v>1.1115999999999999</v>
      </c>
      <c r="L44" s="4">
        <v>5174.4324999999999</v>
      </c>
      <c r="M44" s="4">
        <v>129629.81879999999</v>
      </c>
      <c r="N44" s="4">
        <v>123631.8223</v>
      </c>
      <c r="O44" s="4">
        <v>3594.6115</v>
      </c>
      <c r="P44" s="4">
        <v>2403.3850000000002</v>
      </c>
      <c r="Q44" s="4">
        <v>367.32350000000002</v>
      </c>
      <c r="R44" s="4">
        <v>367.32350000000002</v>
      </c>
      <c r="S44" s="4">
        <v>68689.864000000001</v>
      </c>
      <c r="T44" s="4">
        <v>-161881.60190000001</v>
      </c>
      <c r="U44" s="4">
        <v>405842.11</v>
      </c>
      <c r="V44" s="4">
        <v>23739.002899999999</v>
      </c>
      <c r="W44" s="4">
        <v>64.37</v>
      </c>
      <c r="X44" s="4">
        <v>23674.632799999999</v>
      </c>
      <c r="Y44" s="4">
        <v>80865.998600000006</v>
      </c>
      <c r="Z44" s="4">
        <v>6779.6036000000004</v>
      </c>
      <c r="AA44" s="4">
        <v>74086.395000000004</v>
      </c>
      <c r="AB44" s="4">
        <v>225658.19990000001</v>
      </c>
      <c r="AC44" s="4">
        <v>105964.6156</v>
      </c>
      <c r="AD44" s="4">
        <v>119693.5843</v>
      </c>
      <c r="AE44" s="4">
        <v>75578.9087</v>
      </c>
      <c r="AF44" s="4">
        <v>3996.9731000000002</v>
      </c>
      <c r="AG44" s="4">
        <v>2478.33979</v>
      </c>
    </row>
    <row r="45" spans="1:33" x14ac:dyDescent="0.2">
      <c r="A45" s="3">
        <v>41334</v>
      </c>
      <c r="B45" s="4">
        <v>244770.5643</v>
      </c>
      <c r="C45" s="4">
        <v>32747.245299999999</v>
      </c>
      <c r="D45" s="4">
        <v>6908.0495000000001</v>
      </c>
      <c r="E45" s="4">
        <v>25839.195800000001</v>
      </c>
      <c r="F45" s="5">
        <v>8353.1931999999997</v>
      </c>
      <c r="G45" s="4">
        <v>897.99879999999996</v>
      </c>
      <c r="H45" s="4">
        <v>7455.1944000000003</v>
      </c>
      <c r="I45" s="4">
        <v>-889.47730000000001</v>
      </c>
      <c r="J45" s="5">
        <v>5563.3342000000002</v>
      </c>
      <c r="K45" s="4">
        <v>1.0507</v>
      </c>
      <c r="L45" s="4">
        <v>5562.2834999999995</v>
      </c>
      <c r="M45" s="4">
        <v>129282.1588</v>
      </c>
      <c r="N45" s="4">
        <v>123531.64200000001</v>
      </c>
      <c r="O45" s="4">
        <v>3282.2824999999998</v>
      </c>
      <c r="P45" s="4">
        <v>2468.2343999999998</v>
      </c>
      <c r="Q45" s="4">
        <v>373.82330000000002</v>
      </c>
      <c r="R45" s="4">
        <v>373.82330000000002</v>
      </c>
      <c r="S45" s="4">
        <v>69340.286699999997</v>
      </c>
      <c r="T45" s="4">
        <v>-167480.9938</v>
      </c>
      <c r="U45" s="4">
        <v>412251.55810000002</v>
      </c>
      <c r="V45" s="4">
        <v>23970.482100000001</v>
      </c>
      <c r="W45" s="4">
        <v>64.393600000000006</v>
      </c>
      <c r="X45" s="4">
        <v>23906.088500000002</v>
      </c>
      <c r="Y45" s="4">
        <v>81182.741800000003</v>
      </c>
      <c r="Z45" s="4">
        <v>6631.7804999999998</v>
      </c>
      <c r="AA45" s="4">
        <v>74550.9614</v>
      </c>
      <c r="AB45" s="4">
        <v>231140.0013</v>
      </c>
      <c r="AC45" s="4">
        <v>114093.53690000001</v>
      </c>
      <c r="AD45" s="4">
        <v>117046.4644</v>
      </c>
      <c r="AE45" s="4">
        <v>75958.332800000004</v>
      </c>
      <c r="AF45" s="4">
        <v>3130.2872000000002</v>
      </c>
      <c r="AG45" s="4">
        <v>1833.197048</v>
      </c>
    </row>
    <row r="46" spans="1:33" x14ac:dyDescent="0.2">
      <c r="A46" s="3">
        <v>41426</v>
      </c>
      <c r="B46" s="4">
        <v>239554.55420000001</v>
      </c>
      <c r="C46" s="4">
        <v>33197.3272</v>
      </c>
      <c r="D46" s="4">
        <v>7796.9440000000004</v>
      </c>
      <c r="E46" s="4">
        <v>25400.3832</v>
      </c>
      <c r="F46" s="5">
        <v>5927.8290999999999</v>
      </c>
      <c r="G46" s="4">
        <v>1092.3746000000001</v>
      </c>
      <c r="H46" s="4">
        <v>4835.4544999999998</v>
      </c>
      <c r="I46" s="4">
        <v>-911.86170000000004</v>
      </c>
      <c r="J46" s="5">
        <v>6164.5792000000001</v>
      </c>
      <c r="K46" s="4">
        <v>7.5073999999999996</v>
      </c>
      <c r="L46" s="4">
        <v>6157.0717999999997</v>
      </c>
      <c r="M46" s="4">
        <v>125200.04300000001</v>
      </c>
      <c r="N46" s="4">
        <v>119089.6657</v>
      </c>
      <c r="O46" s="4">
        <v>3806.4162999999999</v>
      </c>
      <c r="P46" s="4">
        <v>2303.9609</v>
      </c>
      <c r="Q46" s="4">
        <v>386.04199999999997</v>
      </c>
      <c r="R46" s="4">
        <v>386.04199999999997</v>
      </c>
      <c r="S46" s="4">
        <v>69590.595300000001</v>
      </c>
      <c r="T46" s="4">
        <v>-170739.49189999999</v>
      </c>
      <c r="U46" s="4">
        <v>410294.04619999998</v>
      </c>
      <c r="V46" s="4">
        <v>24321.690299999998</v>
      </c>
      <c r="W46" s="4">
        <v>20.935400000000001</v>
      </c>
      <c r="X46" s="4">
        <v>24300.7549</v>
      </c>
      <c r="Y46" s="4">
        <v>85904.662200000006</v>
      </c>
      <c r="Z46" s="4">
        <v>7081.9286000000002</v>
      </c>
      <c r="AA46" s="4">
        <v>78822.733600000007</v>
      </c>
      <c r="AB46" s="4">
        <v>224224.2494</v>
      </c>
      <c r="AC46" s="4">
        <v>105617.5848</v>
      </c>
      <c r="AD46" s="4">
        <v>118606.6646</v>
      </c>
      <c r="AE46" s="4">
        <v>75843.444300000003</v>
      </c>
      <c r="AF46" s="4">
        <v>3271.9915000000001</v>
      </c>
      <c r="AG46" s="4">
        <v>1912.7420689999999</v>
      </c>
    </row>
    <row r="47" spans="1:33" x14ac:dyDescent="0.2">
      <c r="A47" s="3">
        <v>41518</v>
      </c>
      <c r="B47" s="4">
        <v>234835.73319999999</v>
      </c>
      <c r="C47" s="4">
        <v>32912.769399999997</v>
      </c>
      <c r="D47" s="4">
        <v>7950.1796999999997</v>
      </c>
      <c r="E47" s="4">
        <v>24962.589800000002</v>
      </c>
      <c r="F47" s="5">
        <v>6494.3283000000001</v>
      </c>
      <c r="G47" s="4">
        <v>1039.9628</v>
      </c>
      <c r="H47" s="4">
        <v>5454.3654999999999</v>
      </c>
      <c r="I47" s="4">
        <v>-869.54269999999997</v>
      </c>
      <c r="J47" s="5">
        <v>6390.9961999999996</v>
      </c>
      <c r="K47" s="4">
        <v>45.354399999999998</v>
      </c>
      <c r="L47" s="4">
        <v>6345.6418000000003</v>
      </c>
      <c r="M47" s="4">
        <v>118625.8992</v>
      </c>
      <c r="N47" s="4">
        <v>112434.992</v>
      </c>
      <c r="O47" s="4">
        <v>3775.5511000000001</v>
      </c>
      <c r="P47" s="4">
        <v>2415.3561</v>
      </c>
      <c r="Q47" s="4">
        <v>398.50740000000002</v>
      </c>
      <c r="R47" s="4">
        <v>398.50740000000002</v>
      </c>
      <c r="S47" s="4">
        <v>70882.775399999999</v>
      </c>
      <c r="T47" s="4">
        <v>-174357.96580000001</v>
      </c>
      <c r="U47" s="4">
        <v>409193.69900000002</v>
      </c>
      <c r="V47" s="4">
        <v>24767.847300000001</v>
      </c>
      <c r="W47" s="4">
        <v>4.9126000000000003</v>
      </c>
      <c r="X47" s="4">
        <v>24762.934700000002</v>
      </c>
      <c r="Y47" s="4">
        <v>88832.8851</v>
      </c>
      <c r="Z47" s="4">
        <v>7150.8679000000002</v>
      </c>
      <c r="AA47" s="4">
        <v>81682.017200000002</v>
      </c>
      <c r="AB47" s="4">
        <v>218328.80900000001</v>
      </c>
      <c r="AC47" s="4">
        <v>99233.273199999996</v>
      </c>
      <c r="AD47" s="4">
        <v>119095.5358</v>
      </c>
      <c r="AE47" s="4">
        <v>77264.157500000001</v>
      </c>
      <c r="AF47" s="4">
        <v>3136.4041999999999</v>
      </c>
      <c r="AG47" s="4">
        <v>1866.7629010000001</v>
      </c>
    </row>
    <row r="48" spans="1:33" x14ac:dyDescent="0.2">
      <c r="A48" s="3">
        <v>41609</v>
      </c>
      <c r="B48" s="4">
        <v>235785.1635</v>
      </c>
      <c r="C48" s="4">
        <v>34463.362999999998</v>
      </c>
      <c r="D48" s="4">
        <v>8578.2319000000007</v>
      </c>
      <c r="E48" s="4">
        <v>25885.131099999999</v>
      </c>
      <c r="F48" s="5">
        <v>7496.3370999999997</v>
      </c>
      <c r="G48" s="4">
        <v>1298.0486000000001</v>
      </c>
      <c r="H48" s="4">
        <v>6198.2884999999997</v>
      </c>
      <c r="I48" s="4">
        <v>-503.26499999999999</v>
      </c>
      <c r="J48" s="5">
        <v>6157.9623000000001</v>
      </c>
      <c r="K48" s="4">
        <v>9.0555000000000003</v>
      </c>
      <c r="L48" s="4">
        <v>6148.9069</v>
      </c>
      <c r="M48" s="4">
        <v>114810.0269</v>
      </c>
      <c r="N48" s="4">
        <v>108202.66280000001</v>
      </c>
      <c r="O48" s="4">
        <v>4010.9675999999999</v>
      </c>
      <c r="P48" s="4">
        <v>2596.3964999999998</v>
      </c>
      <c r="Q48" s="4">
        <v>407.66579999999999</v>
      </c>
      <c r="R48" s="4">
        <v>407.66579999999999</v>
      </c>
      <c r="S48" s="4">
        <v>72953.073399999994</v>
      </c>
      <c r="T48" s="4">
        <v>-177185.5999</v>
      </c>
      <c r="U48" s="4">
        <v>412970.7635</v>
      </c>
      <c r="V48" s="4">
        <v>27024.994299999998</v>
      </c>
      <c r="W48" s="4">
        <v>11.7628</v>
      </c>
      <c r="X48" s="4">
        <v>27013.231500000002</v>
      </c>
      <c r="Y48" s="4">
        <v>92761.069199999998</v>
      </c>
      <c r="Z48" s="4">
        <v>6619.7429000000002</v>
      </c>
      <c r="AA48" s="4">
        <v>86141.326300000001</v>
      </c>
      <c r="AB48" s="4">
        <v>215693.54319999999</v>
      </c>
      <c r="AC48" s="4">
        <v>96583.290200000003</v>
      </c>
      <c r="AD48" s="4">
        <v>119110.253</v>
      </c>
      <c r="AE48" s="4">
        <v>77491.156799999997</v>
      </c>
      <c r="AF48" s="4">
        <v>3075.4978999999998</v>
      </c>
      <c r="AG48" s="4">
        <v>1965.893405</v>
      </c>
    </row>
    <row r="49" spans="1:33" x14ac:dyDescent="0.2">
      <c r="A49" s="3">
        <v>41699</v>
      </c>
      <c r="B49" s="4">
        <v>242450.0252</v>
      </c>
      <c r="C49" s="4">
        <v>32892.548799999997</v>
      </c>
      <c r="D49" s="4">
        <v>8535.3403999999991</v>
      </c>
      <c r="E49" s="4">
        <v>24357.2084</v>
      </c>
      <c r="F49" s="5">
        <v>7379.3562000000002</v>
      </c>
      <c r="G49" s="4">
        <v>1374.0745999999999</v>
      </c>
      <c r="H49" s="4">
        <v>6005.2816000000003</v>
      </c>
      <c r="I49" s="4">
        <v>-683.8048</v>
      </c>
      <c r="J49" s="5">
        <v>6610.4939999999997</v>
      </c>
      <c r="K49" s="4">
        <v>9.5867000000000004</v>
      </c>
      <c r="L49" s="4">
        <v>6600.9072999999999</v>
      </c>
      <c r="M49" s="4">
        <v>119110.66009999999</v>
      </c>
      <c r="N49" s="4">
        <v>112044.7065</v>
      </c>
      <c r="O49" s="4">
        <v>3621.7972</v>
      </c>
      <c r="P49" s="4">
        <v>3444.1563999999998</v>
      </c>
      <c r="Q49" s="4">
        <v>424.65069999999997</v>
      </c>
      <c r="R49" s="4">
        <v>424.65069999999997</v>
      </c>
      <c r="S49" s="4">
        <v>76716.120200000005</v>
      </c>
      <c r="T49" s="4">
        <v>-187394.8976</v>
      </c>
      <c r="U49" s="4">
        <v>429844.9228</v>
      </c>
      <c r="V49" s="4">
        <v>27874.9944</v>
      </c>
      <c r="W49" s="4">
        <v>6.8768000000000002</v>
      </c>
      <c r="X49" s="4">
        <v>27868.117600000001</v>
      </c>
      <c r="Y49" s="4">
        <v>97230.753200000006</v>
      </c>
      <c r="Z49" s="4">
        <v>7195.5020999999997</v>
      </c>
      <c r="AA49" s="4">
        <v>90035.251099999994</v>
      </c>
      <c r="AB49" s="4">
        <v>224386.0797</v>
      </c>
      <c r="AC49" s="4">
        <v>98167.018400000001</v>
      </c>
      <c r="AD49" s="4">
        <v>126219.0613</v>
      </c>
      <c r="AE49" s="4">
        <v>80353.095600000001</v>
      </c>
      <c r="AF49" s="4">
        <v>2733.8407000000002</v>
      </c>
      <c r="AG49" s="4">
        <v>1845.428905</v>
      </c>
    </row>
    <row r="50" spans="1:33" x14ac:dyDescent="0.2">
      <c r="A50" s="3">
        <v>41791</v>
      </c>
      <c r="B50" s="4">
        <v>249147.4884</v>
      </c>
      <c r="C50" s="4">
        <v>32578.751</v>
      </c>
      <c r="D50" s="4">
        <v>9120.9043999999994</v>
      </c>
      <c r="E50" s="4">
        <v>23457.8465</v>
      </c>
      <c r="F50" s="5">
        <v>8026.2646000000004</v>
      </c>
      <c r="G50" s="4">
        <v>1576.8453999999999</v>
      </c>
      <c r="H50" s="4">
        <v>6449.4192000000003</v>
      </c>
      <c r="I50" s="4">
        <v>-630.85199999999998</v>
      </c>
      <c r="J50" s="5">
        <v>7473.8078999999998</v>
      </c>
      <c r="K50" s="4">
        <v>5.3369999999999997</v>
      </c>
      <c r="L50" s="4">
        <v>7468.4708000000001</v>
      </c>
      <c r="M50" s="4">
        <v>122594.4574</v>
      </c>
      <c r="N50" s="4">
        <v>114491.07490000001</v>
      </c>
      <c r="O50" s="4">
        <v>3710.2006000000001</v>
      </c>
      <c r="P50" s="4">
        <v>4393.1818000000003</v>
      </c>
      <c r="Q50" s="4">
        <v>448.72430000000003</v>
      </c>
      <c r="R50" s="4">
        <v>448.72430000000003</v>
      </c>
      <c r="S50" s="4">
        <v>78656.335300000006</v>
      </c>
      <c r="T50" s="4">
        <v>-192695.09539999999</v>
      </c>
      <c r="U50" s="4">
        <v>441842.58380000002</v>
      </c>
      <c r="V50" s="4">
        <v>29082.5105</v>
      </c>
      <c r="W50" s="4">
        <v>4.3425000000000002</v>
      </c>
      <c r="X50" s="4">
        <v>29078.168000000001</v>
      </c>
      <c r="Y50" s="4">
        <v>99121.289699999994</v>
      </c>
      <c r="Z50" s="4">
        <v>6942.3365999999996</v>
      </c>
      <c r="AA50" s="4">
        <v>92178.953099999999</v>
      </c>
      <c r="AB50" s="4">
        <v>230353.37210000001</v>
      </c>
      <c r="AC50" s="4">
        <v>98819.773199999996</v>
      </c>
      <c r="AD50" s="4">
        <v>131533.59890000001</v>
      </c>
      <c r="AE50" s="4">
        <v>83285.411500000002</v>
      </c>
      <c r="AF50" s="4">
        <v>2541.5891000000001</v>
      </c>
      <c r="AG50" s="4">
        <v>1886.161357</v>
      </c>
    </row>
    <row r="51" spans="1:33" x14ac:dyDescent="0.2">
      <c r="A51" s="3">
        <v>41883</v>
      </c>
      <c r="B51" s="4">
        <v>255273.05720000001</v>
      </c>
      <c r="C51" s="4">
        <v>33778.325700000001</v>
      </c>
      <c r="D51" s="4">
        <v>8891.6877999999997</v>
      </c>
      <c r="E51" s="4">
        <v>24886.637900000002</v>
      </c>
      <c r="F51" s="5">
        <v>9001.8871999999992</v>
      </c>
      <c r="G51" s="4">
        <v>1657.7061000000001</v>
      </c>
      <c r="H51" s="4">
        <v>7344.1809999999996</v>
      </c>
      <c r="I51" s="4">
        <v>-469.36099999999999</v>
      </c>
      <c r="J51" s="5">
        <v>8522.2188000000006</v>
      </c>
      <c r="K51" s="4">
        <v>5.7445000000000004</v>
      </c>
      <c r="L51" s="4">
        <v>8516.4743999999992</v>
      </c>
      <c r="M51" s="4">
        <v>124712.3726</v>
      </c>
      <c r="N51" s="4">
        <v>116255.174</v>
      </c>
      <c r="O51" s="4">
        <v>3677.5373</v>
      </c>
      <c r="P51" s="4">
        <v>4779.6612999999998</v>
      </c>
      <c r="Q51" s="4">
        <v>460.44720000000001</v>
      </c>
      <c r="R51" s="4">
        <v>460.44720000000001</v>
      </c>
      <c r="S51" s="4">
        <v>79267.166700000002</v>
      </c>
      <c r="T51" s="4">
        <v>-205069.0643</v>
      </c>
      <c r="U51" s="4">
        <v>460342.12150000001</v>
      </c>
      <c r="V51" s="4">
        <v>33048.406000000003</v>
      </c>
      <c r="W51" s="4">
        <v>1.266</v>
      </c>
      <c r="X51" s="4">
        <v>33047.14</v>
      </c>
      <c r="Y51" s="4">
        <v>103969.6042</v>
      </c>
      <c r="Z51" s="4">
        <v>6873.8856999999998</v>
      </c>
      <c r="AA51" s="4">
        <v>97095.718399999998</v>
      </c>
      <c r="AB51" s="4">
        <v>237670.85250000001</v>
      </c>
      <c r="AC51" s="4">
        <v>99536.65</v>
      </c>
      <c r="AD51" s="4">
        <v>138134.20250000001</v>
      </c>
      <c r="AE51" s="4">
        <v>85653.258799999996</v>
      </c>
      <c r="AF51" s="4">
        <v>2715.3485000000001</v>
      </c>
      <c r="AG51" s="4">
        <v>2014.1212619999999</v>
      </c>
    </row>
    <row r="52" spans="1:33" x14ac:dyDescent="0.2">
      <c r="A52" s="3">
        <v>41974</v>
      </c>
      <c r="B52" s="4">
        <v>266886.10550000001</v>
      </c>
      <c r="C52" s="4">
        <v>36840.709799999997</v>
      </c>
      <c r="D52" s="4">
        <v>12371.181500000001</v>
      </c>
      <c r="E52" s="4">
        <v>24469.528300000002</v>
      </c>
      <c r="F52" s="5">
        <v>9165.9416000000001</v>
      </c>
      <c r="G52" s="4">
        <v>2073.1862000000001</v>
      </c>
      <c r="H52" s="4">
        <v>7092.7554</v>
      </c>
      <c r="I52" s="4">
        <v>-426.18090000000001</v>
      </c>
      <c r="J52" s="5">
        <v>8519.8675000000003</v>
      </c>
      <c r="K52" s="4">
        <v>1.2716000000000001</v>
      </c>
      <c r="L52" s="4">
        <v>8518.5959000000003</v>
      </c>
      <c r="M52" s="4">
        <v>129543.4326</v>
      </c>
      <c r="N52" s="4">
        <v>120747.85460000001</v>
      </c>
      <c r="O52" s="4">
        <v>4130.54</v>
      </c>
      <c r="P52" s="4">
        <v>4665.0380999999998</v>
      </c>
      <c r="Q52" s="4">
        <v>475.57389999999998</v>
      </c>
      <c r="R52" s="4">
        <v>475.57389999999998</v>
      </c>
      <c r="S52" s="4">
        <v>82766.760999999999</v>
      </c>
      <c r="T52" s="4">
        <v>-207241.07339999999</v>
      </c>
      <c r="U52" s="4">
        <v>474127.1789</v>
      </c>
      <c r="V52" s="4">
        <v>34723.617599999998</v>
      </c>
      <c r="W52" s="4">
        <v>1.2889999999999999</v>
      </c>
      <c r="X52" s="4">
        <v>34722.328600000001</v>
      </c>
      <c r="Y52" s="4">
        <v>108704.4149</v>
      </c>
      <c r="Z52" s="4">
        <v>6823.6800999999996</v>
      </c>
      <c r="AA52" s="4">
        <v>101880.73480000001</v>
      </c>
      <c r="AB52" s="4">
        <v>242631.2628</v>
      </c>
      <c r="AC52" s="4">
        <v>98976.767999999996</v>
      </c>
      <c r="AD52" s="4">
        <v>143654.49479999999</v>
      </c>
      <c r="AE52" s="4">
        <v>88067.883499999996</v>
      </c>
      <c r="AF52" s="4">
        <v>2884.0862999999999</v>
      </c>
      <c r="AG52" s="4">
        <v>2107.9492420000001</v>
      </c>
    </row>
    <row r="53" spans="1:33" x14ac:dyDescent="0.2">
      <c r="A53" s="3">
        <v>42064</v>
      </c>
      <c r="B53" s="4">
        <v>275172.2991</v>
      </c>
      <c r="C53" s="4">
        <v>35043.2791</v>
      </c>
      <c r="D53" s="4">
        <v>9921.5377000000008</v>
      </c>
      <c r="E53" s="4">
        <v>25121.741399999999</v>
      </c>
      <c r="F53" s="5">
        <v>9101.0936000000002</v>
      </c>
      <c r="G53" s="4">
        <v>2061.0925999999999</v>
      </c>
      <c r="H53" s="4">
        <v>7040.0010000000002</v>
      </c>
      <c r="I53" s="4">
        <v>-1015.5441</v>
      </c>
      <c r="J53" s="5">
        <v>9768.8763999999992</v>
      </c>
      <c r="K53" s="4">
        <v>7.16</v>
      </c>
      <c r="L53" s="4">
        <v>9761.7163</v>
      </c>
      <c r="M53" s="4">
        <v>134818.36859999999</v>
      </c>
      <c r="N53" s="4">
        <v>124617.7356</v>
      </c>
      <c r="O53" s="4">
        <v>4228.4971999999998</v>
      </c>
      <c r="P53" s="4">
        <v>5972.1358</v>
      </c>
      <c r="Q53" s="4">
        <v>479.09699999999998</v>
      </c>
      <c r="R53" s="4">
        <v>479.09699999999998</v>
      </c>
      <c r="S53" s="4">
        <v>86977.128599999996</v>
      </c>
      <c r="T53" s="4">
        <v>-213496.02249999999</v>
      </c>
      <c r="U53" s="4">
        <v>488668.32160000002</v>
      </c>
      <c r="V53" s="4">
        <v>36508.112200000003</v>
      </c>
      <c r="W53" s="4">
        <v>11.9458</v>
      </c>
      <c r="X53" s="4">
        <v>36496.166299999997</v>
      </c>
      <c r="Y53" s="4">
        <v>110034.5475</v>
      </c>
      <c r="Z53" s="4">
        <v>6587.2026999999998</v>
      </c>
      <c r="AA53" s="4">
        <v>103447.34480000001</v>
      </c>
      <c r="AB53" s="4">
        <v>250450.34650000001</v>
      </c>
      <c r="AC53" s="4">
        <v>101513.81329999999</v>
      </c>
      <c r="AD53" s="4">
        <v>148936.53320000001</v>
      </c>
      <c r="AE53" s="4">
        <v>91675.315499999997</v>
      </c>
      <c r="AF53" s="4">
        <v>2395.4775</v>
      </c>
      <c r="AG53" s="4">
        <v>2283.2318879999998</v>
      </c>
    </row>
    <row r="54" spans="1:33" x14ac:dyDescent="0.2">
      <c r="A54" s="3">
        <v>42156</v>
      </c>
      <c r="B54" s="4">
        <v>276834.70569999999</v>
      </c>
      <c r="C54" s="4">
        <v>35769.419099999999</v>
      </c>
      <c r="D54" s="4">
        <v>10480.025299999999</v>
      </c>
      <c r="E54" s="4">
        <v>25289.393899999999</v>
      </c>
      <c r="F54" s="5">
        <v>9551.3552999999993</v>
      </c>
      <c r="G54" s="4">
        <v>2078.0681</v>
      </c>
      <c r="H54" s="4">
        <v>7473.2871999999998</v>
      </c>
      <c r="I54" s="4">
        <v>-947.82470000000001</v>
      </c>
      <c r="J54" s="5">
        <v>10895.0874</v>
      </c>
      <c r="K54" s="4">
        <v>7.4457000000000004</v>
      </c>
      <c r="L54" s="4">
        <v>10887.6417</v>
      </c>
      <c r="M54" s="4">
        <v>132361.14869999999</v>
      </c>
      <c r="N54" s="4">
        <v>122177.7292</v>
      </c>
      <c r="O54" s="4">
        <v>4390.1783999999998</v>
      </c>
      <c r="P54" s="4">
        <v>5793.2411000000002</v>
      </c>
      <c r="Q54" s="4">
        <v>500.12389999999999</v>
      </c>
      <c r="R54" s="4">
        <v>500.12389999999999</v>
      </c>
      <c r="S54" s="4">
        <v>88705.395999999993</v>
      </c>
      <c r="T54" s="4">
        <v>-216059.3541</v>
      </c>
      <c r="U54" s="4">
        <v>492894.05979999999</v>
      </c>
      <c r="V54" s="4">
        <v>37064.117599999998</v>
      </c>
      <c r="W54" s="4">
        <v>0</v>
      </c>
      <c r="X54" s="4">
        <v>37064.117599999998</v>
      </c>
      <c r="Y54" s="4">
        <v>111989.25049999999</v>
      </c>
      <c r="Z54" s="4">
        <v>6774.1705000000002</v>
      </c>
      <c r="AA54" s="4">
        <v>105215.08</v>
      </c>
      <c r="AB54" s="4">
        <v>250020.9706</v>
      </c>
      <c r="AC54" s="4">
        <v>99040.517300000007</v>
      </c>
      <c r="AD54" s="4">
        <v>150980.45329999999</v>
      </c>
      <c r="AE54" s="4">
        <v>93819.721099999995</v>
      </c>
      <c r="AF54" s="4">
        <v>2050.5450000000001</v>
      </c>
      <c r="AG54" s="4">
        <v>2431.3347589999998</v>
      </c>
    </row>
    <row r="55" spans="1:33" x14ac:dyDescent="0.2">
      <c r="A55" s="3">
        <v>42248</v>
      </c>
      <c r="B55" s="4">
        <v>270167.20429999998</v>
      </c>
      <c r="C55" s="4">
        <v>37061.810799999999</v>
      </c>
      <c r="D55" s="4">
        <v>10695.6772</v>
      </c>
      <c r="E55" s="4">
        <v>26366.133600000001</v>
      </c>
      <c r="F55" s="5">
        <v>9714.8173000000006</v>
      </c>
      <c r="G55" s="4">
        <v>2277.2685999999999</v>
      </c>
      <c r="H55" s="4">
        <v>7437.5487000000003</v>
      </c>
      <c r="I55" s="4">
        <v>-1307.0410999999999</v>
      </c>
      <c r="J55" s="5">
        <v>18928.593700000001</v>
      </c>
      <c r="K55" s="4">
        <v>5.2938000000000001</v>
      </c>
      <c r="L55" s="4">
        <v>18923.299900000002</v>
      </c>
      <c r="M55" s="4">
        <v>124139.8757</v>
      </c>
      <c r="N55" s="4">
        <v>113495.554</v>
      </c>
      <c r="O55" s="4">
        <v>4492.5743000000002</v>
      </c>
      <c r="P55" s="4">
        <v>6151.7474000000002</v>
      </c>
      <c r="Q55" s="4">
        <v>520.48140000000001</v>
      </c>
      <c r="R55" s="4">
        <v>520.48140000000001</v>
      </c>
      <c r="S55" s="4">
        <v>81108.666500000007</v>
      </c>
      <c r="T55" s="4">
        <v>-230839.31770000001</v>
      </c>
      <c r="U55" s="4">
        <v>501006.522</v>
      </c>
      <c r="V55" s="4">
        <v>40173.392099999997</v>
      </c>
      <c r="W55" s="4">
        <v>0</v>
      </c>
      <c r="X55" s="4">
        <v>40173.392099999997</v>
      </c>
      <c r="Y55" s="4">
        <v>124602.2571</v>
      </c>
      <c r="Z55" s="4">
        <v>6959.3056999999999</v>
      </c>
      <c r="AA55" s="4">
        <v>117642.95140000001</v>
      </c>
      <c r="AB55" s="4">
        <v>248220.71580000001</v>
      </c>
      <c r="AC55" s="4">
        <v>94001.394700000004</v>
      </c>
      <c r="AD55" s="4">
        <v>154219.3211</v>
      </c>
      <c r="AE55" s="4">
        <v>88010.157000000007</v>
      </c>
      <c r="AF55" s="4">
        <v>2475.2919000000002</v>
      </c>
      <c r="AG55" s="4">
        <v>2526.3704720000001</v>
      </c>
    </row>
    <row r="56" spans="1:33" x14ac:dyDescent="0.2">
      <c r="A56" s="3">
        <v>42339</v>
      </c>
      <c r="B56" s="4">
        <v>281122.83309999999</v>
      </c>
      <c r="C56" s="4">
        <v>38397.875899999999</v>
      </c>
      <c r="D56" s="4">
        <v>12321.482900000001</v>
      </c>
      <c r="E56" s="4">
        <v>26076.393100000001</v>
      </c>
      <c r="F56" s="5">
        <v>9570.6466</v>
      </c>
      <c r="G56" s="4">
        <v>2315.9852999999998</v>
      </c>
      <c r="H56" s="4">
        <v>7254.6612999999998</v>
      </c>
      <c r="I56" s="4">
        <v>-1342.2174</v>
      </c>
      <c r="J56" s="5">
        <v>17413.6479</v>
      </c>
      <c r="K56" s="4">
        <v>4.7767999999999997</v>
      </c>
      <c r="L56" s="4">
        <v>17408.8711</v>
      </c>
      <c r="M56" s="4">
        <v>125806.4578</v>
      </c>
      <c r="N56" s="4">
        <v>115188.9757</v>
      </c>
      <c r="O56" s="4">
        <v>4958.0680000000002</v>
      </c>
      <c r="P56" s="4">
        <v>5659.4141</v>
      </c>
      <c r="Q56" s="4">
        <v>518.17660000000001</v>
      </c>
      <c r="R56" s="4">
        <v>518.17660000000001</v>
      </c>
      <c r="S56" s="4">
        <v>90758.245800000004</v>
      </c>
      <c r="T56" s="4">
        <v>-231441.07800000001</v>
      </c>
      <c r="U56" s="4">
        <v>512563.91110000003</v>
      </c>
      <c r="V56" s="4">
        <v>39242.015500000001</v>
      </c>
      <c r="W56" s="4">
        <v>0</v>
      </c>
      <c r="X56" s="4">
        <v>39242.015500000001</v>
      </c>
      <c r="Y56" s="4">
        <v>126137.98390000001</v>
      </c>
      <c r="Z56" s="4">
        <v>6848.3158000000003</v>
      </c>
      <c r="AA56" s="4">
        <v>119289.6681</v>
      </c>
      <c r="AB56" s="4">
        <v>250975.68210000001</v>
      </c>
      <c r="AC56" s="4">
        <v>93785.700400000002</v>
      </c>
      <c r="AD56" s="4">
        <v>157189.9817</v>
      </c>
      <c r="AE56" s="4">
        <v>96208.229699999996</v>
      </c>
      <c r="AF56" s="4">
        <v>2317.1801999999998</v>
      </c>
      <c r="AG56" s="4">
        <v>2581.7675469999999</v>
      </c>
    </row>
    <row r="57" spans="1:33" x14ac:dyDescent="0.2">
      <c r="A57" s="3">
        <v>42430</v>
      </c>
      <c r="B57" s="4">
        <v>293558.09710000001</v>
      </c>
      <c r="C57" s="4">
        <v>36362.400399999999</v>
      </c>
      <c r="D57" s="4">
        <v>10927.2896</v>
      </c>
      <c r="E57" s="4">
        <v>25435.110799999999</v>
      </c>
      <c r="F57" s="5">
        <v>9157.9117000000006</v>
      </c>
      <c r="G57" s="4">
        <v>2174.2208000000001</v>
      </c>
      <c r="H57" s="4">
        <v>6983.6909999999998</v>
      </c>
      <c r="I57" s="4">
        <v>-1396.1909000000001</v>
      </c>
      <c r="J57" s="5">
        <v>16775.244500000001</v>
      </c>
      <c r="K57" s="4">
        <v>7.3404999999999996</v>
      </c>
      <c r="L57" s="4">
        <v>16767.903999999999</v>
      </c>
      <c r="M57" s="4">
        <v>135034.66159999999</v>
      </c>
      <c r="N57" s="4">
        <v>123824.38890000001</v>
      </c>
      <c r="O57" s="4">
        <v>5159.1270000000004</v>
      </c>
      <c r="P57" s="4">
        <v>6051.1457</v>
      </c>
      <c r="Q57" s="4">
        <v>504.62490000000003</v>
      </c>
      <c r="R57" s="4">
        <v>504.62490000000003</v>
      </c>
      <c r="S57" s="4">
        <v>97119.444900000002</v>
      </c>
      <c r="T57" s="4">
        <v>-236385.07560000001</v>
      </c>
      <c r="U57" s="4">
        <v>529943.1727</v>
      </c>
      <c r="V57" s="4">
        <v>39411.7428</v>
      </c>
      <c r="W57" s="4">
        <v>0</v>
      </c>
      <c r="X57" s="4">
        <v>39411.7428</v>
      </c>
      <c r="Y57" s="4">
        <v>125231.2883</v>
      </c>
      <c r="Z57" s="4">
        <v>6825.8453</v>
      </c>
      <c r="AA57" s="4">
        <v>118405.443</v>
      </c>
      <c r="AB57" s="4">
        <v>262822.99190000002</v>
      </c>
      <c r="AC57" s="4">
        <v>98968.596600000004</v>
      </c>
      <c r="AD57" s="4">
        <v>163854.3953</v>
      </c>
      <c r="AE57" s="4">
        <v>102477.1498</v>
      </c>
      <c r="AF57" s="4">
        <v>1907.9193</v>
      </c>
      <c r="AG57" s="4">
        <v>2367.0656920000001</v>
      </c>
    </row>
    <row r="58" spans="1:33" x14ac:dyDescent="0.2">
      <c r="A58" s="3">
        <v>42522</v>
      </c>
      <c r="B58" s="4">
        <v>298798.50030000001</v>
      </c>
      <c r="C58" s="4">
        <v>36673.308499999999</v>
      </c>
      <c r="D58" s="4">
        <v>11177.909299999999</v>
      </c>
      <c r="E58" s="4">
        <v>25495.3992</v>
      </c>
      <c r="F58" s="5">
        <v>9588.0475000000006</v>
      </c>
      <c r="G58" s="4">
        <v>2079.3636999999999</v>
      </c>
      <c r="H58" s="4">
        <v>7508.6839</v>
      </c>
      <c r="I58" s="4">
        <v>-1707.2429</v>
      </c>
      <c r="J58" s="5">
        <v>16648.366000000002</v>
      </c>
      <c r="K58" s="4">
        <v>3.9525999999999999</v>
      </c>
      <c r="L58" s="4">
        <v>16644.413400000001</v>
      </c>
      <c r="M58" s="4">
        <v>139004.58919999999</v>
      </c>
      <c r="N58" s="4">
        <v>127281.3964</v>
      </c>
      <c r="O58" s="4">
        <v>5089.4175999999998</v>
      </c>
      <c r="P58" s="4">
        <v>6633.7750999999998</v>
      </c>
      <c r="Q58" s="4">
        <v>515.41</v>
      </c>
      <c r="R58" s="4">
        <v>515.41</v>
      </c>
      <c r="S58" s="4">
        <v>98076.022100000002</v>
      </c>
      <c r="T58" s="4">
        <v>-237303.68460000001</v>
      </c>
      <c r="U58" s="4">
        <v>536102.18500000006</v>
      </c>
      <c r="V58" s="4">
        <v>39346.091999999997</v>
      </c>
      <c r="W58" s="4">
        <v>0</v>
      </c>
      <c r="X58" s="4">
        <v>39346.091999999997</v>
      </c>
      <c r="Y58" s="4">
        <v>125291.5668</v>
      </c>
      <c r="Z58" s="4">
        <v>6901.4049999999997</v>
      </c>
      <c r="AA58" s="4">
        <v>118390.1617</v>
      </c>
      <c r="AB58" s="4">
        <v>266460.32610000001</v>
      </c>
      <c r="AC58" s="4">
        <v>100934.6335</v>
      </c>
      <c r="AD58" s="4">
        <v>165525.69260000001</v>
      </c>
      <c r="AE58" s="4">
        <v>105004.2001</v>
      </c>
      <c r="AF58" s="4">
        <v>1841.1289999999999</v>
      </c>
      <c r="AG58" s="4">
        <v>2391.1685520000001</v>
      </c>
    </row>
    <row r="59" spans="1:33" x14ac:dyDescent="0.2">
      <c r="A59" s="3">
        <v>42614</v>
      </c>
      <c r="B59" s="4">
        <v>299032.33769999997</v>
      </c>
      <c r="C59" s="4">
        <v>36749.292999999998</v>
      </c>
      <c r="D59" s="4">
        <v>11242.371800000001</v>
      </c>
      <c r="E59" s="4">
        <v>25506.9211</v>
      </c>
      <c r="F59" s="5">
        <v>9121.8958999999995</v>
      </c>
      <c r="G59" s="4">
        <v>1939.1501000000001</v>
      </c>
      <c r="H59" s="4">
        <v>7182.7457000000004</v>
      </c>
      <c r="I59" s="4">
        <v>-1550.3308999999999</v>
      </c>
      <c r="J59" s="5">
        <v>17092.3534</v>
      </c>
      <c r="K59" s="4">
        <v>3.6440999999999999</v>
      </c>
      <c r="L59" s="4">
        <v>17088.709299999999</v>
      </c>
      <c r="M59" s="4">
        <v>139285.68290000001</v>
      </c>
      <c r="N59" s="4">
        <v>126357.0961</v>
      </c>
      <c r="O59" s="4">
        <v>4802.5037000000002</v>
      </c>
      <c r="P59" s="4">
        <v>8126.0830999999998</v>
      </c>
      <c r="Q59" s="4">
        <v>519.64200000000005</v>
      </c>
      <c r="R59" s="4">
        <v>519.64200000000005</v>
      </c>
      <c r="S59" s="4">
        <v>97813.801600000006</v>
      </c>
      <c r="T59" s="4">
        <v>-238052.77619999999</v>
      </c>
      <c r="U59" s="4">
        <v>537085.1139</v>
      </c>
      <c r="V59" s="4">
        <v>40870.762900000002</v>
      </c>
      <c r="W59" s="4">
        <v>0</v>
      </c>
      <c r="X59" s="4">
        <v>40870.762900000002</v>
      </c>
      <c r="Y59" s="4">
        <v>126078.4767</v>
      </c>
      <c r="Z59" s="4">
        <v>6564.8280000000004</v>
      </c>
      <c r="AA59" s="4">
        <v>119513.6488</v>
      </c>
      <c r="AB59" s="4">
        <v>264309.37430000002</v>
      </c>
      <c r="AC59" s="4">
        <v>97335.3367</v>
      </c>
      <c r="AD59" s="4">
        <v>166974.03769999999</v>
      </c>
      <c r="AE59" s="4">
        <v>105826.4999</v>
      </c>
      <c r="AF59" s="4">
        <v>2286.7615000000001</v>
      </c>
      <c r="AG59" s="4">
        <v>2498.8742010000001</v>
      </c>
    </row>
    <row r="60" spans="1:33" x14ac:dyDescent="0.2">
      <c r="A60" s="3">
        <v>42705</v>
      </c>
      <c r="B60" s="4">
        <v>296302.89380000002</v>
      </c>
      <c r="C60" s="4">
        <v>39757.804199999999</v>
      </c>
      <c r="D60" s="4">
        <v>13212.8874</v>
      </c>
      <c r="E60" s="4">
        <v>26544.916799999999</v>
      </c>
      <c r="F60" s="5">
        <v>9186.5316999999995</v>
      </c>
      <c r="G60" s="4">
        <v>1956.7458999999999</v>
      </c>
      <c r="H60" s="4">
        <v>7229.7857999999997</v>
      </c>
      <c r="I60" s="4">
        <v>-822.19979999999998</v>
      </c>
      <c r="J60" s="5">
        <v>17573.861400000002</v>
      </c>
      <c r="K60" s="4">
        <v>4.6357999999999997</v>
      </c>
      <c r="L60" s="4">
        <v>17569.225600000002</v>
      </c>
      <c r="M60" s="4">
        <v>136571.41579999999</v>
      </c>
      <c r="N60" s="4">
        <v>123253.9397</v>
      </c>
      <c r="O60" s="4">
        <v>5305.2278999999999</v>
      </c>
      <c r="P60" s="4">
        <v>8012.2482</v>
      </c>
      <c r="Q60" s="4">
        <v>533.45219999999995</v>
      </c>
      <c r="R60" s="4">
        <v>533.45219999999995</v>
      </c>
      <c r="S60" s="4">
        <v>93502.028399999996</v>
      </c>
      <c r="T60" s="4">
        <v>-236897.29389999999</v>
      </c>
      <c r="U60" s="4">
        <v>533200.18770000001</v>
      </c>
      <c r="V60" s="4">
        <v>41002.902699999999</v>
      </c>
      <c r="W60" s="4">
        <v>0</v>
      </c>
      <c r="X60" s="4">
        <v>41002.902699999999</v>
      </c>
      <c r="Y60" s="4">
        <v>128373.6471</v>
      </c>
      <c r="Z60" s="4">
        <v>6159.1692000000003</v>
      </c>
      <c r="AA60" s="4">
        <v>122214.4779</v>
      </c>
      <c r="AB60" s="4">
        <v>262236.2022</v>
      </c>
      <c r="AC60" s="4">
        <v>100324.0125</v>
      </c>
      <c r="AD60" s="4">
        <v>161912.18969999999</v>
      </c>
      <c r="AE60" s="4">
        <v>101587.4357</v>
      </c>
      <c r="AF60" s="4">
        <v>2329.7600000000002</v>
      </c>
      <c r="AG60" s="4">
        <v>2801.674763</v>
      </c>
    </row>
    <row r="61" spans="1:33" x14ac:dyDescent="0.2">
      <c r="A61" s="3">
        <v>42795</v>
      </c>
      <c r="B61" s="4">
        <v>293002.14769999997</v>
      </c>
      <c r="C61" s="4">
        <v>38183.342900000003</v>
      </c>
      <c r="D61" s="4">
        <v>12860.685799999999</v>
      </c>
      <c r="E61" s="4">
        <v>25322.657200000001</v>
      </c>
      <c r="F61" s="5">
        <v>9768.6887000000006</v>
      </c>
      <c r="G61" s="4">
        <v>1955.9472000000001</v>
      </c>
      <c r="H61" s="4">
        <v>7812.7415000000001</v>
      </c>
      <c r="I61" s="4">
        <v>-683.98820000000001</v>
      </c>
      <c r="J61" s="5">
        <v>17813.018400000001</v>
      </c>
      <c r="K61" s="4">
        <v>4.0576999999999996</v>
      </c>
      <c r="L61" s="4">
        <v>17808.960599999999</v>
      </c>
      <c r="M61" s="4">
        <v>134713.1514</v>
      </c>
      <c r="N61" s="4">
        <v>120225.2512</v>
      </c>
      <c r="O61" s="4">
        <v>6142.4326000000001</v>
      </c>
      <c r="P61" s="4">
        <v>8345.4675999999999</v>
      </c>
      <c r="Q61" s="4">
        <v>541.68010000000004</v>
      </c>
      <c r="R61" s="4">
        <v>541.68010000000004</v>
      </c>
      <c r="S61" s="4">
        <v>92666.254300000001</v>
      </c>
      <c r="T61" s="4">
        <v>-247636.8737</v>
      </c>
      <c r="U61" s="4">
        <v>540639.02139999997</v>
      </c>
      <c r="V61" s="4">
        <v>42545.701999999997</v>
      </c>
      <c r="W61" s="4">
        <v>0</v>
      </c>
      <c r="X61" s="4">
        <v>42545.701999999997</v>
      </c>
      <c r="Y61" s="4">
        <v>126994.8345</v>
      </c>
      <c r="Z61" s="4">
        <v>5998.0949000000001</v>
      </c>
      <c r="AA61" s="4">
        <v>120996.7396</v>
      </c>
      <c r="AB61" s="4">
        <v>268403.45380000002</v>
      </c>
      <c r="AC61" s="4">
        <v>109518.0837</v>
      </c>
      <c r="AD61" s="4">
        <v>158885.3701</v>
      </c>
      <c r="AE61" s="4">
        <v>102695.03109999999</v>
      </c>
      <c r="AF61" s="4">
        <v>3126.8328000000001</v>
      </c>
      <c r="AG61" s="4">
        <v>2756.2522789999998</v>
      </c>
    </row>
    <row r="62" spans="1:33" x14ac:dyDescent="0.2">
      <c r="A62" s="3">
        <v>42887</v>
      </c>
      <c r="B62" s="4">
        <v>293262.2303</v>
      </c>
      <c r="C62" s="4">
        <v>35340.193599999999</v>
      </c>
      <c r="D62" s="4">
        <v>12904.1443</v>
      </c>
      <c r="E62" s="4">
        <v>22436.049299999999</v>
      </c>
      <c r="F62" s="5">
        <v>10831.9287</v>
      </c>
      <c r="G62" s="4">
        <v>2160.0473999999999</v>
      </c>
      <c r="H62" s="4">
        <v>8671.8812999999991</v>
      </c>
      <c r="I62" s="4">
        <v>-675.47389999999996</v>
      </c>
      <c r="J62" s="5">
        <v>17981.261299999998</v>
      </c>
      <c r="K62" s="4">
        <v>7.3689999999999998</v>
      </c>
      <c r="L62" s="4">
        <v>17973.892400000001</v>
      </c>
      <c r="M62" s="4">
        <v>134847.36360000001</v>
      </c>
      <c r="N62" s="4">
        <v>119279.75380000001</v>
      </c>
      <c r="O62" s="4">
        <v>6129.5621000000001</v>
      </c>
      <c r="P62" s="4">
        <v>9438.0475999999999</v>
      </c>
      <c r="Q62" s="4">
        <v>562.50760000000002</v>
      </c>
      <c r="R62" s="4">
        <v>562.50760000000002</v>
      </c>
      <c r="S62" s="4">
        <v>94374.449399999998</v>
      </c>
      <c r="T62" s="4">
        <v>-247914.55809999999</v>
      </c>
      <c r="U62" s="4">
        <v>541176.78839999996</v>
      </c>
      <c r="V62" s="4">
        <v>43327.375</v>
      </c>
      <c r="W62" s="4">
        <v>0</v>
      </c>
      <c r="X62" s="4">
        <v>43327.375</v>
      </c>
      <c r="Y62" s="4">
        <v>127986.8029</v>
      </c>
      <c r="Z62" s="4">
        <v>6678.6322</v>
      </c>
      <c r="AA62" s="4">
        <v>121308.1707</v>
      </c>
      <c r="AB62" s="4">
        <v>265334.29080000002</v>
      </c>
      <c r="AC62" s="4">
        <v>106925.4632</v>
      </c>
      <c r="AD62" s="4">
        <v>158408.82759999999</v>
      </c>
      <c r="AE62" s="4">
        <v>104528.31969999999</v>
      </c>
      <c r="AF62" s="4">
        <v>3264.4520000000002</v>
      </c>
      <c r="AG62" s="4">
        <v>2864.0773610000001</v>
      </c>
    </row>
    <row r="63" spans="1:33" x14ac:dyDescent="0.2">
      <c r="A63" s="3">
        <v>42979</v>
      </c>
      <c r="B63" s="4">
        <v>297838.7501</v>
      </c>
      <c r="C63" s="4">
        <v>35702.271500000003</v>
      </c>
      <c r="D63" s="4">
        <v>12143.397800000001</v>
      </c>
      <c r="E63" s="4">
        <v>23558.8737</v>
      </c>
      <c r="F63" s="5">
        <v>10820.5717</v>
      </c>
      <c r="G63" s="4">
        <v>2056.4045999999998</v>
      </c>
      <c r="H63" s="4">
        <v>8764.1671000000006</v>
      </c>
      <c r="I63" s="4">
        <v>-789.08849999999995</v>
      </c>
      <c r="J63" s="5">
        <v>17418.080300000001</v>
      </c>
      <c r="K63" s="4">
        <v>8.2787000000000006</v>
      </c>
      <c r="L63" s="4">
        <v>17409.801599999999</v>
      </c>
      <c r="M63" s="4">
        <v>139636.62349999999</v>
      </c>
      <c r="N63" s="4">
        <v>124051.69259999999</v>
      </c>
      <c r="O63" s="4">
        <v>6624.1094999999996</v>
      </c>
      <c r="P63" s="4">
        <v>8960.8214000000007</v>
      </c>
      <c r="Q63" s="4">
        <v>566.99829999999997</v>
      </c>
      <c r="R63" s="4">
        <v>566.99829999999997</v>
      </c>
      <c r="S63" s="4">
        <v>94483.293300000005</v>
      </c>
      <c r="T63" s="4">
        <v>-250347.2169</v>
      </c>
      <c r="U63" s="4">
        <v>548185.96699999995</v>
      </c>
      <c r="V63" s="4">
        <v>43282.624400000001</v>
      </c>
      <c r="W63" s="4">
        <v>0</v>
      </c>
      <c r="X63" s="4">
        <v>43282.624400000001</v>
      </c>
      <c r="Y63" s="4">
        <v>126524.1148</v>
      </c>
      <c r="Z63" s="4">
        <v>6288.9058000000005</v>
      </c>
      <c r="AA63" s="4">
        <v>120235.209</v>
      </c>
      <c r="AB63" s="4">
        <v>274604.35009999998</v>
      </c>
      <c r="AC63" s="4">
        <v>118711.1011</v>
      </c>
      <c r="AD63" s="4">
        <v>155893.24900000001</v>
      </c>
      <c r="AE63" s="4">
        <v>103774.87760000001</v>
      </c>
      <c r="AF63" s="4">
        <v>3206.0030999999999</v>
      </c>
      <c r="AG63" s="4">
        <v>2984.421049</v>
      </c>
    </row>
    <row r="64" spans="1:33" x14ac:dyDescent="0.2">
      <c r="A64" s="3">
        <v>43070</v>
      </c>
      <c r="B64" s="4">
        <v>308349.76189999998</v>
      </c>
      <c r="C64" s="4">
        <v>37432.265099999997</v>
      </c>
      <c r="D64" s="4">
        <v>14061.604799999999</v>
      </c>
      <c r="E64" s="4">
        <v>23370.6603</v>
      </c>
      <c r="F64" s="5">
        <v>10158.562099999999</v>
      </c>
      <c r="G64" s="4">
        <v>1793.712</v>
      </c>
      <c r="H64" s="4">
        <v>8364.8500999999997</v>
      </c>
      <c r="I64" s="4">
        <v>-484.83269999999999</v>
      </c>
      <c r="J64" s="5">
        <v>16611.504400000002</v>
      </c>
      <c r="K64" s="4">
        <v>4.9189999999999996</v>
      </c>
      <c r="L64" s="4">
        <v>16606.5854</v>
      </c>
      <c r="M64" s="4">
        <v>142557.6372</v>
      </c>
      <c r="N64" s="4">
        <v>126985.3915</v>
      </c>
      <c r="O64" s="4">
        <v>5604.8118000000004</v>
      </c>
      <c r="P64" s="4">
        <v>9967.4339</v>
      </c>
      <c r="Q64" s="4">
        <v>579.15260000000001</v>
      </c>
      <c r="R64" s="4">
        <v>579.15260000000001</v>
      </c>
      <c r="S64" s="4">
        <v>101495.4733</v>
      </c>
      <c r="T64" s="4">
        <v>-250108.6845</v>
      </c>
      <c r="U64" s="4">
        <v>558458.44640000002</v>
      </c>
      <c r="V64" s="4">
        <v>42133.3822</v>
      </c>
      <c r="W64" s="4">
        <v>0</v>
      </c>
      <c r="X64" s="4">
        <v>42133.3822</v>
      </c>
      <c r="Y64" s="4">
        <v>125960.09570000001</v>
      </c>
      <c r="Z64" s="4">
        <v>7200.1144000000004</v>
      </c>
      <c r="AA64" s="4">
        <v>118759.9814</v>
      </c>
      <c r="AB64" s="4">
        <v>281727.3933</v>
      </c>
      <c r="AC64" s="4">
        <v>123843.0775</v>
      </c>
      <c r="AD64" s="4">
        <v>157884.31580000001</v>
      </c>
      <c r="AE64" s="4">
        <v>108637.57520000001</v>
      </c>
      <c r="AF64" s="4">
        <v>3445.8382000000001</v>
      </c>
      <c r="AG64" s="4">
        <v>3196.5440509999999</v>
      </c>
    </row>
    <row r="65" spans="1:33" x14ac:dyDescent="0.2">
      <c r="A65" s="3">
        <v>43160</v>
      </c>
      <c r="B65" s="4">
        <v>305372.15899999999</v>
      </c>
      <c r="C65" s="4">
        <v>35511.534099999997</v>
      </c>
      <c r="D65" s="4">
        <v>13144.3678</v>
      </c>
      <c r="E65" s="4">
        <v>22367.166300000001</v>
      </c>
      <c r="F65" s="5">
        <v>10607.945900000001</v>
      </c>
      <c r="G65" s="4">
        <v>1960.7406000000001</v>
      </c>
      <c r="H65" s="4">
        <v>8647.2052000000003</v>
      </c>
      <c r="I65" s="4">
        <v>-82.689099999999996</v>
      </c>
      <c r="J65" s="5">
        <v>16541.038</v>
      </c>
      <c r="K65" s="4">
        <v>18.689299999999999</v>
      </c>
      <c r="L65" s="4">
        <v>16522.3488</v>
      </c>
      <c r="M65" s="4">
        <v>140000.2316</v>
      </c>
      <c r="N65" s="4">
        <v>123641.1272</v>
      </c>
      <c r="O65" s="4">
        <v>6954.9094999999998</v>
      </c>
      <c r="P65" s="4">
        <v>9404.1949000000004</v>
      </c>
      <c r="Q65" s="4">
        <v>589.952</v>
      </c>
      <c r="R65" s="4">
        <v>589.952</v>
      </c>
      <c r="S65" s="4">
        <v>102204.1465</v>
      </c>
      <c r="T65" s="4">
        <v>-252443.8279</v>
      </c>
      <c r="U65" s="4">
        <v>557815.98679999996</v>
      </c>
      <c r="V65" s="4">
        <v>41328.510999999999</v>
      </c>
      <c r="W65" s="4">
        <v>0</v>
      </c>
      <c r="X65" s="4">
        <v>41328.510999999999</v>
      </c>
      <c r="Y65" s="4">
        <v>127978.15059999999</v>
      </c>
      <c r="Z65" s="4">
        <v>7648.3967000000002</v>
      </c>
      <c r="AA65" s="4">
        <v>120329.754</v>
      </c>
      <c r="AB65" s="4">
        <v>279811.8676</v>
      </c>
      <c r="AC65" s="4">
        <v>121122.99649999999</v>
      </c>
      <c r="AD65" s="4">
        <v>158688.87109999999</v>
      </c>
      <c r="AE65" s="4">
        <v>108697.45759999999</v>
      </c>
      <c r="AF65" s="4">
        <v>3212.0925000000002</v>
      </c>
      <c r="AG65" s="4">
        <v>3144.2241570000001</v>
      </c>
    </row>
    <row r="66" spans="1:33" x14ac:dyDescent="0.2">
      <c r="A66" s="3">
        <v>43252</v>
      </c>
      <c r="B66" s="4">
        <v>297447.30040000001</v>
      </c>
      <c r="C66" s="4">
        <v>36437.055399999997</v>
      </c>
      <c r="D66" s="4">
        <v>13343.333199999999</v>
      </c>
      <c r="E66" s="4">
        <v>23093.7222</v>
      </c>
      <c r="F66" s="5">
        <v>11576.3184</v>
      </c>
      <c r="G66" s="4">
        <v>2975.8108000000002</v>
      </c>
      <c r="H66" s="4">
        <v>8600.5077000000001</v>
      </c>
      <c r="I66" s="4">
        <v>-279.1848</v>
      </c>
      <c r="J66" s="5">
        <v>8839.4567999999999</v>
      </c>
      <c r="K66" s="4">
        <v>4.6856999999999998</v>
      </c>
      <c r="L66" s="4">
        <v>8834.7711999999992</v>
      </c>
      <c r="M66" s="4">
        <v>142296.82459999999</v>
      </c>
      <c r="N66" s="4">
        <v>125035.2694</v>
      </c>
      <c r="O66" s="4">
        <v>7129.4879000000001</v>
      </c>
      <c r="P66" s="4">
        <v>10132.067300000001</v>
      </c>
      <c r="Q66" s="4">
        <v>597.52099999999996</v>
      </c>
      <c r="R66" s="4">
        <v>597.52099999999996</v>
      </c>
      <c r="S66" s="4">
        <v>97979.308999999994</v>
      </c>
      <c r="T66" s="4">
        <v>-258359.1801</v>
      </c>
      <c r="U66" s="4">
        <v>555806.48049999995</v>
      </c>
      <c r="V66" s="4">
        <v>43753.569900000002</v>
      </c>
      <c r="W66" s="4">
        <v>0</v>
      </c>
      <c r="X66" s="4">
        <v>43753.569900000002</v>
      </c>
      <c r="Y66" s="4">
        <v>130241.0178</v>
      </c>
      <c r="Z66" s="4">
        <v>7938.3545999999997</v>
      </c>
      <c r="AA66" s="4">
        <v>122302.6632</v>
      </c>
      <c r="AB66" s="4">
        <v>276498.96779999998</v>
      </c>
      <c r="AC66" s="4">
        <v>117210.7533</v>
      </c>
      <c r="AD66" s="4">
        <v>159288.2145</v>
      </c>
      <c r="AE66" s="4">
        <v>105312.9249</v>
      </c>
      <c r="AF66" s="4">
        <v>3909.7927</v>
      </c>
      <c r="AG66" s="4">
        <v>3270.3542819999998</v>
      </c>
    </row>
    <row r="67" spans="1:33" x14ac:dyDescent="0.2">
      <c r="A67" s="3">
        <v>43344</v>
      </c>
      <c r="B67" s="4">
        <v>292065.10060000001</v>
      </c>
      <c r="C67" s="4">
        <v>36570.532700000003</v>
      </c>
      <c r="D67" s="4">
        <v>12445.2462</v>
      </c>
      <c r="E67" s="4">
        <v>24125.286499999998</v>
      </c>
      <c r="F67" s="5">
        <v>10294.1041</v>
      </c>
      <c r="G67" s="4">
        <v>2300.1572000000001</v>
      </c>
      <c r="H67" s="4">
        <v>7993.9468999999999</v>
      </c>
      <c r="I67" s="4">
        <v>-23.809799999999999</v>
      </c>
      <c r="J67" s="5">
        <v>9387.6440000000002</v>
      </c>
      <c r="K67" s="4">
        <v>4.6894999999999998</v>
      </c>
      <c r="L67" s="4">
        <v>9382.9544999999998</v>
      </c>
      <c r="M67" s="4">
        <v>140021.83059999999</v>
      </c>
      <c r="N67" s="4">
        <v>122206.6655</v>
      </c>
      <c r="O67" s="4">
        <v>6138.4040999999997</v>
      </c>
      <c r="P67" s="4">
        <v>11676.760899999999</v>
      </c>
      <c r="Q67" s="4">
        <v>608.05430000000001</v>
      </c>
      <c r="R67" s="4">
        <v>608.05430000000001</v>
      </c>
      <c r="S67" s="4">
        <v>95206.7448</v>
      </c>
      <c r="T67" s="4">
        <v>-265968.24129999999</v>
      </c>
      <c r="U67" s="4">
        <v>558033.34180000005</v>
      </c>
      <c r="V67" s="4">
        <v>44920.627200000003</v>
      </c>
      <c r="W67" s="4">
        <v>0</v>
      </c>
      <c r="X67" s="4">
        <v>44920.627200000003</v>
      </c>
      <c r="Y67" s="4">
        <v>133287.71859999999</v>
      </c>
      <c r="Z67" s="4">
        <v>8361.2045999999991</v>
      </c>
      <c r="AA67" s="4">
        <v>124926.514</v>
      </c>
      <c r="AB67" s="4">
        <v>277355.26549999998</v>
      </c>
      <c r="AC67" s="4">
        <v>119293.91800000001</v>
      </c>
      <c r="AD67" s="4">
        <v>158061.3475</v>
      </c>
      <c r="AE67" s="4">
        <v>102469.7306</v>
      </c>
      <c r="AF67" s="4">
        <v>3843.4645999999998</v>
      </c>
      <c r="AG67" s="4">
        <v>3376.6539290000001</v>
      </c>
    </row>
    <row r="68" spans="1:33" x14ac:dyDescent="0.2">
      <c r="A68" s="3">
        <v>43435</v>
      </c>
      <c r="B68" s="4">
        <v>290664.37520000001</v>
      </c>
      <c r="C68" s="4">
        <v>39972.6757</v>
      </c>
      <c r="D68" s="4">
        <v>14745.3413</v>
      </c>
      <c r="E68" s="4">
        <v>25227.334299999999</v>
      </c>
      <c r="F68" s="5">
        <v>10066.9681</v>
      </c>
      <c r="G68" s="4">
        <v>2397.1608000000001</v>
      </c>
      <c r="H68" s="4">
        <v>7669.8073000000004</v>
      </c>
      <c r="I68" s="4">
        <v>-532.59010000000001</v>
      </c>
      <c r="J68" s="5">
        <v>9775.2692000000006</v>
      </c>
      <c r="K68" s="4">
        <v>4.6966999999999999</v>
      </c>
      <c r="L68" s="4">
        <v>9770.5725000000002</v>
      </c>
      <c r="M68" s="4">
        <v>137726.20180000001</v>
      </c>
      <c r="N68" s="4">
        <v>119844.5521</v>
      </c>
      <c r="O68" s="4">
        <v>5990.2148999999999</v>
      </c>
      <c r="P68" s="4">
        <v>11891.4347</v>
      </c>
      <c r="Q68" s="4">
        <v>634.15899999999999</v>
      </c>
      <c r="R68" s="4">
        <v>634.15899999999999</v>
      </c>
      <c r="S68" s="4">
        <v>93021.691600000006</v>
      </c>
      <c r="T68" s="4">
        <v>-269615.17680000002</v>
      </c>
      <c r="U68" s="4">
        <v>560279.55189999996</v>
      </c>
      <c r="V68" s="4">
        <v>46720.715700000001</v>
      </c>
      <c r="W68" s="4">
        <v>0</v>
      </c>
      <c r="X68" s="4">
        <v>46720.715700000001</v>
      </c>
      <c r="Y68" s="4">
        <v>138045.72719999999</v>
      </c>
      <c r="Z68" s="4">
        <v>8398.0805</v>
      </c>
      <c r="AA68" s="4">
        <v>129647.64659999999</v>
      </c>
      <c r="AB68" s="4">
        <v>277026.56849999999</v>
      </c>
      <c r="AC68" s="4">
        <v>114213.3713</v>
      </c>
      <c r="AD68" s="4">
        <v>162813.1972</v>
      </c>
      <c r="AE68" s="4">
        <v>98486.540599999993</v>
      </c>
      <c r="AF68" s="4">
        <v>4222.2241999999997</v>
      </c>
      <c r="AG68" s="4">
        <v>3709.9029500000001</v>
      </c>
    </row>
    <row r="69" spans="1:33" x14ac:dyDescent="0.2">
      <c r="A69" s="3">
        <v>43525</v>
      </c>
      <c r="B69" s="4">
        <v>308149.14769999997</v>
      </c>
      <c r="C69" s="4">
        <v>37470.136400000003</v>
      </c>
      <c r="D69" s="4">
        <v>13604.2585</v>
      </c>
      <c r="E69" s="4">
        <v>23865.877899999999</v>
      </c>
      <c r="F69" s="5">
        <v>10577.441000000001</v>
      </c>
      <c r="G69" s="4">
        <v>2758.5927000000001</v>
      </c>
      <c r="H69" s="4">
        <v>7818.8482999999997</v>
      </c>
      <c r="I69" s="4">
        <v>-401.32100000000003</v>
      </c>
      <c r="J69" s="5">
        <v>9688.4145000000008</v>
      </c>
      <c r="K69" s="4">
        <v>16.1174</v>
      </c>
      <c r="L69" s="4">
        <v>9672.2970999999998</v>
      </c>
      <c r="M69" s="4">
        <v>144595.033</v>
      </c>
      <c r="N69" s="4">
        <v>125350.671</v>
      </c>
      <c r="O69" s="4">
        <v>6572.1115</v>
      </c>
      <c r="P69" s="4">
        <v>12672.250599999999</v>
      </c>
      <c r="Q69" s="4">
        <v>648.22280000000001</v>
      </c>
      <c r="R69" s="4">
        <v>648.22280000000001</v>
      </c>
      <c r="S69" s="4">
        <v>105571.2209</v>
      </c>
      <c r="T69" s="4">
        <v>-271781.85149999999</v>
      </c>
      <c r="U69" s="4">
        <v>579930.99910000002</v>
      </c>
      <c r="V69" s="4">
        <v>47584.970200000003</v>
      </c>
      <c r="W69" s="4">
        <v>0</v>
      </c>
      <c r="X69" s="4">
        <v>47584.970200000003</v>
      </c>
      <c r="Y69" s="4">
        <v>137880.85630000001</v>
      </c>
      <c r="Z69" s="4">
        <v>8337.0956000000006</v>
      </c>
      <c r="AA69" s="4">
        <v>129543.76059999999</v>
      </c>
      <c r="AB69" s="4">
        <v>284521.21139999997</v>
      </c>
      <c r="AC69" s="4">
        <v>117811.4999</v>
      </c>
      <c r="AD69" s="4">
        <v>166709.7115</v>
      </c>
      <c r="AE69" s="4">
        <v>109943.9613</v>
      </c>
      <c r="AF69" s="4">
        <v>2290.0468999999998</v>
      </c>
      <c r="AG69" s="4">
        <v>3598.6741780000002</v>
      </c>
    </row>
    <row r="70" spans="1:33" x14ac:dyDescent="0.2">
      <c r="A70" s="3">
        <v>43617</v>
      </c>
      <c r="B70" s="4">
        <v>313511.74819999997</v>
      </c>
      <c r="C70" s="4">
        <v>36894.596599999997</v>
      </c>
      <c r="D70" s="4">
        <v>14202.9822</v>
      </c>
      <c r="E70" s="4">
        <v>22691.614399999999</v>
      </c>
      <c r="F70" s="5">
        <v>11648.6093</v>
      </c>
      <c r="G70" s="4">
        <v>2957.2732999999998</v>
      </c>
      <c r="H70" s="4">
        <v>8691.3359999999993</v>
      </c>
      <c r="I70" s="4">
        <v>-271.26280000000003</v>
      </c>
      <c r="J70" s="5">
        <v>9185.4112999999998</v>
      </c>
      <c r="K70" s="4">
        <v>12.8942</v>
      </c>
      <c r="L70" s="4">
        <v>9172.5170999999991</v>
      </c>
      <c r="M70" s="4">
        <v>146886.98240000001</v>
      </c>
      <c r="N70" s="4">
        <v>125980.8521</v>
      </c>
      <c r="O70" s="4">
        <v>7032.5141000000003</v>
      </c>
      <c r="P70" s="4">
        <v>13873.6163</v>
      </c>
      <c r="Q70" s="4">
        <v>663.21069999999997</v>
      </c>
      <c r="R70" s="4">
        <v>663.21069999999997</v>
      </c>
      <c r="S70" s="4">
        <v>108504.2006</v>
      </c>
      <c r="T70" s="4">
        <v>-274246.91609999997</v>
      </c>
      <c r="U70" s="4">
        <v>587758.66429999995</v>
      </c>
      <c r="V70" s="4">
        <v>51609.010900000001</v>
      </c>
      <c r="W70" s="4">
        <v>0</v>
      </c>
      <c r="X70" s="4">
        <v>51609.010900000001</v>
      </c>
      <c r="Y70" s="4">
        <v>140448.82920000001</v>
      </c>
      <c r="Z70" s="4">
        <v>9231.7623999999996</v>
      </c>
      <c r="AA70" s="4">
        <v>131217.0668</v>
      </c>
      <c r="AB70" s="4">
        <v>281985.19300000003</v>
      </c>
      <c r="AC70" s="4">
        <v>113146.3893</v>
      </c>
      <c r="AD70" s="4">
        <v>168838.80369999999</v>
      </c>
      <c r="AE70" s="4">
        <v>113715.63129999999</v>
      </c>
      <c r="AF70" s="4">
        <v>2085.7910999999999</v>
      </c>
      <c r="AG70" s="4">
        <v>3603.2173130000001</v>
      </c>
    </row>
    <row r="71" spans="1:33" x14ac:dyDescent="0.2">
      <c r="A71" s="3">
        <v>43709</v>
      </c>
      <c r="B71" s="4">
        <v>315738.02990000002</v>
      </c>
      <c r="C71" s="4">
        <v>39230.097300000001</v>
      </c>
      <c r="D71" s="4">
        <v>15156.5285</v>
      </c>
      <c r="E71" s="4">
        <v>24073.568899999998</v>
      </c>
      <c r="F71" s="5">
        <v>12300.4272</v>
      </c>
      <c r="G71" s="4">
        <v>3170.2462999999998</v>
      </c>
      <c r="H71" s="4">
        <v>9130.1808999999994</v>
      </c>
      <c r="I71" s="4">
        <v>-1187.2876000000001</v>
      </c>
      <c r="J71" s="5">
        <v>9912.9745999999996</v>
      </c>
      <c r="K71" s="4">
        <v>28.4008</v>
      </c>
      <c r="L71" s="4">
        <v>9884.5738000000001</v>
      </c>
      <c r="M71" s="4">
        <v>145420.4246</v>
      </c>
      <c r="N71" s="4">
        <v>123876.458</v>
      </c>
      <c r="O71" s="4">
        <v>7230.1992</v>
      </c>
      <c r="P71" s="4">
        <v>14313.767400000001</v>
      </c>
      <c r="Q71" s="4">
        <v>656.54939999999999</v>
      </c>
      <c r="R71" s="4">
        <v>656.54939999999999</v>
      </c>
      <c r="S71" s="4">
        <v>109404.8443</v>
      </c>
      <c r="T71" s="4">
        <v>-286358.25540000002</v>
      </c>
      <c r="U71" s="4">
        <v>602096.28520000004</v>
      </c>
      <c r="V71" s="4">
        <v>56801.808900000004</v>
      </c>
      <c r="W71" s="4">
        <v>0</v>
      </c>
      <c r="X71" s="4">
        <v>56801.808900000004</v>
      </c>
      <c r="Y71" s="4">
        <v>146722.01819999999</v>
      </c>
      <c r="Z71" s="4">
        <v>9300.8860999999997</v>
      </c>
      <c r="AA71" s="4">
        <v>137421.13209999999</v>
      </c>
      <c r="AB71" s="4">
        <v>283127.45299999998</v>
      </c>
      <c r="AC71" s="4">
        <v>112674.594</v>
      </c>
      <c r="AD71" s="4">
        <v>170452.859</v>
      </c>
      <c r="AE71" s="4">
        <v>115445.0052</v>
      </c>
      <c r="AF71" s="4">
        <v>2288.7067999999999</v>
      </c>
      <c r="AG71" s="4">
        <v>3845.024684</v>
      </c>
    </row>
    <row r="72" spans="1:33" x14ac:dyDescent="0.2">
      <c r="A72" s="3">
        <v>43800</v>
      </c>
      <c r="B72" s="4">
        <v>317377.5246</v>
      </c>
      <c r="C72" s="4">
        <v>39193.4882</v>
      </c>
      <c r="D72" s="4">
        <v>17365.154600000002</v>
      </c>
      <c r="E72" s="4">
        <v>21828.333600000002</v>
      </c>
      <c r="F72" s="5">
        <v>11630.415000000001</v>
      </c>
      <c r="G72" s="4">
        <v>3173.8265999999999</v>
      </c>
      <c r="H72" s="4">
        <v>8456.5884000000005</v>
      </c>
      <c r="I72" s="4">
        <v>-1405.9407000000001</v>
      </c>
      <c r="J72" s="5">
        <v>10137.148800000001</v>
      </c>
      <c r="K72" s="4">
        <v>28.501000000000001</v>
      </c>
      <c r="L72" s="4">
        <v>10108.647800000001</v>
      </c>
      <c r="M72" s="4">
        <v>140363.72459999999</v>
      </c>
      <c r="N72" s="4">
        <v>120383.1995</v>
      </c>
      <c r="O72" s="4">
        <v>8846.3583999999992</v>
      </c>
      <c r="P72" s="4">
        <v>11134.166800000001</v>
      </c>
      <c r="Q72" s="4">
        <v>710.27279999999996</v>
      </c>
      <c r="R72" s="4">
        <v>710.27279999999996</v>
      </c>
      <c r="S72" s="4">
        <v>116748.4158</v>
      </c>
      <c r="T72" s="4">
        <v>-290643.02389999997</v>
      </c>
      <c r="U72" s="4">
        <v>608020.54850000003</v>
      </c>
      <c r="V72" s="4">
        <v>56113.139900000002</v>
      </c>
      <c r="W72" s="4">
        <v>0</v>
      </c>
      <c r="X72" s="4">
        <v>56113.139900000002</v>
      </c>
      <c r="Y72" s="4">
        <v>151252.46239999999</v>
      </c>
      <c r="Z72" s="4">
        <v>8974.7052000000003</v>
      </c>
      <c r="AA72" s="4">
        <v>142277.75719999999</v>
      </c>
      <c r="AB72" s="4">
        <v>281656.10470000003</v>
      </c>
      <c r="AC72" s="4">
        <v>107328.6672</v>
      </c>
      <c r="AD72" s="4">
        <v>174327.4375</v>
      </c>
      <c r="AE72" s="4">
        <v>118998.84149999999</v>
      </c>
      <c r="AF72" s="4">
        <v>1860.0626999999999</v>
      </c>
      <c r="AG72" s="4">
        <v>4051.0496469999998</v>
      </c>
    </row>
    <row r="73" spans="1:33" x14ac:dyDescent="0.2">
      <c r="A73" s="3">
        <v>43891</v>
      </c>
      <c r="B73" s="4">
        <v>301969.45939999999</v>
      </c>
      <c r="C73" s="4">
        <v>41926.737099999998</v>
      </c>
      <c r="D73" s="4">
        <v>15718.1661</v>
      </c>
      <c r="E73" s="4">
        <v>26208.571</v>
      </c>
      <c r="F73" s="5">
        <v>14333.4058</v>
      </c>
      <c r="G73" s="4">
        <v>3549.5371</v>
      </c>
      <c r="H73" s="4">
        <v>10783.868700000001</v>
      </c>
      <c r="I73" s="4">
        <v>-3459.1956</v>
      </c>
      <c r="J73" s="5">
        <v>12227.021199999999</v>
      </c>
      <c r="K73" s="4">
        <v>26.409500000000001</v>
      </c>
      <c r="L73" s="4">
        <v>12200.611699999999</v>
      </c>
      <c r="M73" s="4">
        <v>123876.5147</v>
      </c>
      <c r="N73" s="4">
        <v>103485.50930000001</v>
      </c>
      <c r="O73" s="4">
        <v>10297.265600000001</v>
      </c>
      <c r="P73" s="4">
        <v>10093.739799999999</v>
      </c>
      <c r="Q73" s="4">
        <v>708.99329999999998</v>
      </c>
      <c r="R73" s="4">
        <v>708.99329999999998</v>
      </c>
      <c r="S73" s="4">
        <v>112355.9829</v>
      </c>
      <c r="T73" s="4">
        <v>-292257.25579999998</v>
      </c>
      <c r="U73" s="4">
        <v>594226.71519999998</v>
      </c>
      <c r="V73" s="4">
        <v>57662.771399999998</v>
      </c>
      <c r="W73" s="4">
        <v>0</v>
      </c>
      <c r="X73" s="4">
        <v>57662.771399999998</v>
      </c>
      <c r="Y73" s="4">
        <v>164003.23120000001</v>
      </c>
      <c r="Z73" s="4">
        <v>9194.8068999999996</v>
      </c>
      <c r="AA73" s="4">
        <v>154808.42430000001</v>
      </c>
      <c r="AB73" s="4">
        <v>258584.628</v>
      </c>
      <c r="AC73" s="4">
        <v>80269.854000000007</v>
      </c>
      <c r="AD73" s="4">
        <v>178314.774</v>
      </c>
      <c r="AE73" s="4">
        <v>113976.0846</v>
      </c>
      <c r="AF73" s="4">
        <v>2435.3618999999999</v>
      </c>
      <c r="AG73" s="4">
        <v>4398.5684199999996</v>
      </c>
    </row>
    <row r="74" spans="1:33" x14ac:dyDescent="0.2">
      <c r="A74" s="3">
        <v>43983</v>
      </c>
      <c r="B74" s="4">
        <v>299989.16960000002</v>
      </c>
      <c r="C74" s="4">
        <v>45065.882400000002</v>
      </c>
      <c r="D74" s="4">
        <v>20628.8678</v>
      </c>
      <c r="E74" s="4">
        <v>24437.014599999999</v>
      </c>
      <c r="F74" s="5">
        <v>14046.977500000001</v>
      </c>
      <c r="G74" s="4">
        <v>4134.5425999999998</v>
      </c>
      <c r="H74" s="4">
        <v>9912.4348000000009</v>
      </c>
      <c r="I74" s="4">
        <v>-1980.4061999999999</v>
      </c>
      <c r="J74" s="5">
        <v>11903.867200000001</v>
      </c>
      <c r="K74" s="4">
        <v>21.9376</v>
      </c>
      <c r="L74" s="4">
        <v>11881.929599999999</v>
      </c>
      <c r="M74" s="4">
        <v>128363.4932</v>
      </c>
      <c r="N74" s="4">
        <v>106993.1569</v>
      </c>
      <c r="O74" s="4">
        <v>11204.2855</v>
      </c>
      <c r="P74" s="4">
        <v>10166.050800000001</v>
      </c>
      <c r="Q74" s="4">
        <v>668.16499999999996</v>
      </c>
      <c r="R74" s="4">
        <v>668.16499999999996</v>
      </c>
      <c r="S74" s="4">
        <v>101921.1905</v>
      </c>
      <c r="T74" s="4">
        <v>-297767.8174</v>
      </c>
      <c r="U74" s="4">
        <v>597756.98699999996</v>
      </c>
      <c r="V74" s="4">
        <v>65569.306200000006</v>
      </c>
      <c r="W74" s="4">
        <v>0</v>
      </c>
      <c r="X74" s="4">
        <v>65569.306200000006</v>
      </c>
      <c r="Y74" s="4">
        <v>168627.08259999999</v>
      </c>
      <c r="Z74" s="4">
        <v>8346.5676000000003</v>
      </c>
      <c r="AA74" s="4">
        <v>160280.51509999999</v>
      </c>
      <c r="AB74" s="4">
        <v>261744.12849999999</v>
      </c>
      <c r="AC74" s="4">
        <v>90691.256999999998</v>
      </c>
      <c r="AD74" s="4">
        <v>171052.87150000001</v>
      </c>
      <c r="AE74" s="4">
        <v>101816.4696</v>
      </c>
      <c r="AF74" s="4">
        <v>1537.2724000000001</v>
      </c>
      <c r="AG74" s="4">
        <v>4041.429063</v>
      </c>
    </row>
    <row r="75" spans="1:33" x14ac:dyDescent="0.2">
      <c r="A75" s="3">
        <v>44075</v>
      </c>
      <c r="B75" s="4">
        <v>297424.01409999997</v>
      </c>
      <c r="C75" s="4">
        <v>44783.127</v>
      </c>
      <c r="D75" s="4">
        <v>21718.686099999999</v>
      </c>
      <c r="E75" s="4">
        <v>23064.440900000001</v>
      </c>
      <c r="F75" s="5">
        <v>15180.002899999999</v>
      </c>
      <c r="G75" s="4">
        <v>5014.7622000000001</v>
      </c>
      <c r="H75" s="4">
        <v>10165.2407</v>
      </c>
      <c r="I75" s="4">
        <v>-1111.5642</v>
      </c>
      <c r="J75" s="5">
        <v>12235.2942</v>
      </c>
      <c r="K75" s="4">
        <v>25.242799999999999</v>
      </c>
      <c r="L75" s="4">
        <v>12210.0514</v>
      </c>
      <c r="M75" s="4">
        <v>125799.1229</v>
      </c>
      <c r="N75" s="4">
        <v>104049.71829999999</v>
      </c>
      <c r="O75" s="4">
        <v>10996.902899999999</v>
      </c>
      <c r="P75" s="4">
        <v>10752.5018</v>
      </c>
      <c r="Q75" s="4">
        <v>649.98829999999998</v>
      </c>
      <c r="R75" s="4">
        <v>649.98829999999998</v>
      </c>
      <c r="S75" s="4">
        <v>99888.0429</v>
      </c>
      <c r="T75" s="4">
        <v>-289044.27879999997</v>
      </c>
      <c r="U75" s="4">
        <v>586468.2929</v>
      </c>
      <c r="V75" s="4">
        <v>65649.199699999997</v>
      </c>
      <c r="W75" s="4">
        <v>0</v>
      </c>
      <c r="X75" s="4">
        <v>65649.199699999997</v>
      </c>
      <c r="Y75" s="4">
        <v>166952.58989999999</v>
      </c>
      <c r="Z75" s="4">
        <v>7788.4863999999998</v>
      </c>
      <c r="AA75" s="4">
        <v>159164.1036</v>
      </c>
      <c r="AB75" s="4">
        <v>252734.06200000001</v>
      </c>
      <c r="AC75" s="4">
        <v>86029.282999999996</v>
      </c>
      <c r="AD75" s="4">
        <v>166704.77900000001</v>
      </c>
      <c r="AE75" s="4">
        <v>101132.4412</v>
      </c>
      <c r="AF75" s="4">
        <v>1945.865</v>
      </c>
      <c r="AG75" s="4">
        <v>3775.449713</v>
      </c>
    </row>
    <row r="76" spans="1:33" x14ac:dyDescent="0.2">
      <c r="A76" s="3">
        <v>44166</v>
      </c>
      <c r="B76" s="4">
        <v>318449.7035</v>
      </c>
      <c r="C76" s="4">
        <v>43059.612999999998</v>
      </c>
      <c r="D76" s="4">
        <v>22632.671399999999</v>
      </c>
      <c r="E76" s="4">
        <v>20426.941599999998</v>
      </c>
      <c r="F76" s="5">
        <v>14699.6095</v>
      </c>
      <c r="G76" s="4">
        <v>4184.1621999999998</v>
      </c>
      <c r="H76" s="4">
        <v>10515.447200000001</v>
      </c>
      <c r="I76" s="4">
        <v>-523.05529999999999</v>
      </c>
      <c r="J76" s="5">
        <v>11309.166300000001</v>
      </c>
      <c r="K76" s="4">
        <v>12.469200000000001</v>
      </c>
      <c r="L76" s="4">
        <v>11296.697099999999</v>
      </c>
      <c r="M76" s="4">
        <v>132781.1404</v>
      </c>
      <c r="N76" s="4">
        <v>111023.728</v>
      </c>
      <c r="O76" s="4">
        <v>9885.6028999999999</v>
      </c>
      <c r="P76" s="4">
        <v>11871.809499999999</v>
      </c>
      <c r="Q76" s="4">
        <v>682.89729999999997</v>
      </c>
      <c r="R76" s="4">
        <v>682.89729999999997</v>
      </c>
      <c r="S76" s="4">
        <v>116440.3324</v>
      </c>
      <c r="T76" s="4">
        <v>-277008.19199999998</v>
      </c>
      <c r="U76" s="4">
        <v>595457.89540000004</v>
      </c>
      <c r="V76" s="4">
        <v>63207.713900000002</v>
      </c>
      <c r="W76" s="4">
        <v>2.3351000000000002</v>
      </c>
      <c r="X76" s="4">
        <v>63205.378799999999</v>
      </c>
      <c r="Y76" s="4">
        <v>157299.46299999999</v>
      </c>
      <c r="Z76" s="4">
        <v>5615.5226000000002</v>
      </c>
      <c r="AA76" s="4">
        <v>151683.94039999999</v>
      </c>
      <c r="AB76" s="4">
        <v>260203.15710000001</v>
      </c>
      <c r="AC76" s="4">
        <v>93130.500700000004</v>
      </c>
      <c r="AD76" s="4">
        <v>167072.65640000001</v>
      </c>
      <c r="AE76" s="4">
        <v>114747.56140000001</v>
      </c>
      <c r="AF76" s="4">
        <v>2066.2244000000001</v>
      </c>
      <c r="AG76" s="4">
        <v>4037.963577</v>
      </c>
    </row>
    <row r="77" spans="1:33" x14ac:dyDescent="0.2">
      <c r="A77" s="3">
        <v>44256</v>
      </c>
      <c r="B77" s="4">
        <v>332449.652</v>
      </c>
      <c r="C77" s="4">
        <v>46160.723599999998</v>
      </c>
      <c r="D77" s="4">
        <v>24803.852200000001</v>
      </c>
      <c r="E77" s="4">
        <v>21356.8714</v>
      </c>
      <c r="F77" s="5">
        <v>13559.3765</v>
      </c>
      <c r="G77" s="4">
        <v>4459.5255999999999</v>
      </c>
      <c r="H77" s="4">
        <v>9099.8508999999995</v>
      </c>
      <c r="I77" s="4">
        <v>307.7919</v>
      </c>
      <c r="J77" s="5">
        <v>12566.658600000001</v>
      </c>
      <c r="K77" s="4">
        <v>10.6122</v>
      </c>
      <c r="L77" s="4">
        <v>12556.0465</v>
      </c>
      <c r="M77" s="4">
        <v>141156.39550000001</v>
      </c>
      <c r="N77" s="4">
        <v>117434.951</v>
      </c>
      <c r="O77" s="4">
        <v>9072.7225999999991</v>
      </c>
      <c r="P77" s="4">
        <v>14648.7219</v>
      </c>
      <c r="Q77" s="4">
        <v>688.75879999999995</v>
      </c>
      <c r="R77" s="4">
        <v>688.75879999999995</v>
      </c>
      <c r="S77" s="4">
        <v>118009.947</v>
      </c>
      <c r="T77" s="4">
        <v>-287852.4437</v>
      </c>
      <c r="U77" s="4">
        <v>620302.09569999995</v>
      </c>
      <c r="V77" s="4">
        <v>62906.859700000001</v>
      </c>
      <c r="W77" s="4">
        <v>2.4455</v>
      </c>
      <c r="X77" s="4">
        <v>62904.414199999999</v>
      </c>
      <c r="Y77" s="4">
        <v>159323.69450000001</v>
      </c>
      <c r="Z77" s="4">
        <v>6065.3867</v>
      </c>
      <c r="AA77" s="4">
        <v>153258.30780000001</v>
      </c>
      <c r="AB77" s="4">
        <v>279109.78639999998</v>
      </c>
      <c r="AC77" s="4">
        <v>107973.4938</v>
      </c>
      <c r="AD77" s="4">
        <v>171136.29269999999</v>
      </c>
      <c r="AE77" s="4">
        <v>118961.755</v>
      </c>
      <c r="AF77" s="4">
        <v>3468.6727999999998</v>
      </c>
      <c r="AG77" s="4">
        <v>4276.4598189999997</v>
      </c>
    </row>
    <row r="78" spans="1:33" x14ac:dyDescent="0.2">
      <c r="A78" s="3">
        <v>44348</v>
      </c>
      <c r="B78" s="4">
        <v>338584.22389999998</v>
      </c>
      <c r="C78" s="4">
        <v>47501.597900000001</v>
      </c>
      <c r="D78" s="4">
        <v>26942.7912</v>
      </c>
      <c r="E78" s="4">
        <v>20558.806700000001</v>
      </c>
      <c r="F78" s="5">
        <v>14456.317999999999</v>
      </c>
      <c r="G78" s="4">
        <v>6124.6670000000004</v>
      </c>
      <c r="H78" s="4">
        <v>8331.6509999999998</v>
      </c>
      <c r="I78" s="4">
        <v>256.33940000000001</v>
      </c>
      <c r="J78" s="5">
        <v>12658.4146</v>
      </c>
      <c r="K78" s="4">
        <v>13.297499999999999</v>
      </c>
      <c r="L78" s="4">
        <v>12645.117099999999</v>
      </c>
      <c r="M78" s="4">
        <v>140092.74340000001</v>
      </c>
      <c r="N78" s="4">
        <v>116931.33100000001</v>
      </c>
      <c r="O78" s="4">
        <v>8461.1679000000004</v>
      </c>
      <c r="P78" s="4">
        <v>14700.244500000001</v>
      </c>
      <c r="Q78" s="4">
        <v>678.23320000000001</v>
      </c>
      <c r="R78" s="4">
        <v>678.23320000000001</v>
      </c>
      <c r="S78" s="4">
        <v>122940.5773</v>
      </c>
      <c r="T78" s="4">
        <v>-280583.63370000001</v>
      </c>
      <c r="U78" s="4">
        <v>619167.85759999999</v>
      </c>
      <c r="V78" s="4">
        <v>61215.327299999997</v>
      </c>
      <c r="W78" s="4">
        <v>2.9988999999999999</v>
      </c>
      <c r="X78" s="4">
        <v>61212.328399999999</v>
      </c>
      <c r="Y78" s="4">
        <v>159967.1286</v>
      </c>
      <c r="Z78" s="4">
        <v>6456.6013000000003</v>
      </c>
      <c r="AA78" s="4">
        <v>153510.52729999999</v>
      </c>
      <c r="AB78" s="4">
        <v>274161.48739999998</v>
      </c>
      <c r="AC78" s="4">
        <v>101203.90889999999</v>
      </c>
      <c r="AD78" s="4">
        <v>172957.57860000001</v>
      </c>
      <c r="AE78" s="4">
        <v>123823.9143</v>
      </c>
      <c r="AF78" s="4">
        <v>3856.4560999999999</v>
      </c>
      <c r="AG78" s="4">
        <v>4504.756797</v>
      </c>
    </row>
    <row r="79" spans="1:33" x14ac:dyDescent="0.2">
      <c r="A79" s="3">
        <v>44440</v>
      </c>
      <c r="B79" s="4">
        <v>354822.61629999999</v>
      </c>
      <c r="C79" s="4">
        <v>52270.215199999999</v>
      </c>
      <c r="D79" s="4">
        <v>25915.147300000001</v>
      </c>
      <c r="E79" s="4">
        <v>26355.067899999998</v>
      </c>
      <c r="F79" s="5">
        <v>14984.3604</v>
      </c>
      <c r="G79" s="4">
        <v>6317.9908999999998</v>
      </c>
      <c r="H79" s="4">
        <v>8666.3695000000007</v>
      </c>
      <c r="I79" s="4">
        <v>-221.70249999999999</v>
      </c>
      <c r="J79" s="5">
        <v>14259.148999999999</v>
      </c>
      <c r="K79" s="4">
        <v>14.518800000000001</v>
      </c>
      <c r="L79" s="4">
        <v>14244.6301</v>
      </c>
      <c r="M79" s="4">
        <v>143372.7654</v>
      </c>
      <c r="N79" s="4">
        <v>119201.2187</v>
      </c>
      <c r="O79" s="4">
        <v>9135.4686000000002</v>
      </c>
      <c r="P79" s="4">
        <v>15036.078100000001</v>
      </c>
      <c r="Q79" s="4">
        <v>721.18359999999996</v>
      </c>
      <c r="R79" s="4">
        <v>721.18359999999996</v>
      </c>
      <c r="S79" s="4">
        <v>129436.6453</v>
      </c>
      <c r="T79" s="4">
        <v>-290058.7009</v>
      </c>
      <c r="U79" s="4">
        <v>644881.31720000005</v>
      </c>
      <c r="V79" s="4">
        <v>66061.712299999999</v>
      </c>
      <c r="W79" s="4">
        <v>0</v>
      </c>
      <c r="X79" s="4">
        <v>66061.712299999999</v>
      </c>
      <c r="Y79" s="4">
        <v>169924.74859999999</v>
      </c>
      <c r="Z79" s="4">
        <v>6162.3710000000001</v>
      </c>
      <c r="AA79" s="4">
        <v>163762.37760000001</v>
      </c>
      <c r="AB79" s="4">
        <v>278787.78340000001</v>
      </c>
      <c r="AC79" s="4">
        <v>97458.999299999996</v>
      </c>
      <c r="AD79" s="4">
        <v>181328.78409999999</v>
      </c>
      <c r="AE79" s="4">
        <v>130107.0729</v>
      </c>
      <c r="AF79" s="4">
        <v>5522.5974999999999</v>
      </c>
      <c r="AG79" s="4">
        <v>4341.7763629999999</v>
      </c>
    </row>
    <row r="80" spans="1:33" x14ac:dyDescent="0.2">
      <c r="A80" s="3">
        <v>44531</v>
      </c>
      <c r="B80" s="4">
        <v>369788.141</v>
      </c>
      <c r="C80" s="4">
        <v>51555.610200000003</v>
      </c>
      <c r="D80" s="4">
        <v>26734.2327</v>
      </c>
      <c r="E80" s="4">
        <v>24821.377499999999</v>
      </c>
      <c r="F80" s="5">
        <v>11823.592000000001</v>
      </c>
      <c r="G80" s="4">
        <v>4365.2111000000004</v>
      </c>
      <c r="H80" s="4">
        <v>7458.3809000000001</v>
      </c>
      <c r="I80" s="4">
        <v>-6.8883999999999999</v>
      </c>
      <c r="J80" s="5">
        <v>15522.846600000001</v>
      </c>
      <c r="K80" s="4">
        <v>15.030799999999999</v>
      </c>
      <c r="L80" s="4">
        <v>15507.8159</v>
      </c>
      <c r="M80" s="4">
        <v>152094.2965</v>
      </c>
      <c r="N80" s="4">
        <v>127596.1018</v>
      </c>
      <c r="O80" s="4">
        <v>9525.7700999999997</v>
      </c>
      <c r="P80" s="4">
        <v>14972.424499999999</v>
      </c>
      <c r="Q80" s="4">
        <v>790.21270000000004</v>
      </c>
      <c r="R80" s="4">
        <v>790.21270000000004</v>
      </c>
      <c r="S80" s="4">
        <v>138008.47150000001</v>
      </c>
      <c r="T80" s="4">
        <v>-295551.41759999999</v>
      </c>
      <c r="U80" s="4">
        <v>665339.55859999999</v>
      </c>
      <c r="V80" s="4">
        <v>68310.193499999994</v>
      </c>
      <c r="W80" s="4">
        <v>0</v>
      </c>
      <c r="X80" s="4">
        <v>68310.193499999994</v>
      </c>
      <c r="Y80" s="4">
        <v>175388.8112</v>
      </c>
      <c r="Z80" s="4">
        <v>6638.634</v>
      </c>
      <c r="AA80" s="4">
        <v>168750.17730000001</v>
      </c>
      <c r="AB80" s="4">
        <v>283575.69079999998</v>
      </c>
      <c r="AC80" s="4">
        <v>94209.210099999997</v>
      </c>
      <c r="AD80" s="4">
        <v>189366.48079999999</v>
      </c>
      <c r="AE80" s="4">
        <v>138064.86300000001</v>
      </c>
      <c r="AF80" s="4">
        <v>6687.3407999999999</v>
      </c>
      <c r="AG80" s="4">
        <v>4687.7793579999998</v>
      </c>
    </row>
    <row r="81" spans="1:33" x14ac:dyDescent="0.2">
      <c r="A81" s="3">
        <v>44621</v>
      </c>
      <c r="B81" s="4">
        <v>377601.55040000001</v>
      </c>
      <c r="C81" s="4">
        <v>48185.506099999999</v>
      </c>
      <c r="D81" s="4">
        <v>24484.6368</v>
      </c>
      <c r="E81" s="4">
        <v>23700.8694</v>
      </c>
      <c r="F81" s="5">
        <v>11374.022300000001</v>
      </c>
      <c r="G81" s="4">
        <v>4186.5520999999999</v>
      </c>
      <c r="H81" s="4">
        <v>7187.4700999999995</v>
      </c>
      <c r="I81" s="4">
        <v>-464.738</v>
      </c>
      <c r="J81" s="5">
        <v>14918.985500000001</v>
      </c>
      <c r="K81" s="4">
        <v>15.1282</v>
      </c>
      <c r="L81" s="4">
        <v>14903.8573</v>
      </c>
      <c r="M81" s="4">
        <v>157508.11869999999</v>
      </c>
      <c r="N81" s="4">
        <v>134046.54149999999</v>
      </c>
      <c r="O81" s="4">
        <v>8992.4308000000001</v>
      </c>
      <c r="P81" s="4">
        <v>14469.1464</v>
      </c>
      <c r="Q81" s="4">
        <v>834.65239999999994</v>
      </c>
      <c r="R81" s="4">
        <v>834.65239999999994</v>
      </c>
      <c r="S81" s="4">
        <v>145245.00339999999</v>
      </c>
      <c r="T81" s="4">
        <v>-302740.69429999997</v>
      </c>
      <c r="U81" s="4">
        <v>680342.24479999999</v>
      </c>
      <c r="V81" s="4">
        <v>63830.604299999999</v>
      </c>
      <c r="W81" s="4">
        <v>0</v>
      </c>
      <c r="X81" s="4">
        <v>63830.604299999999</v>
      </c>
      <c r="Y81" s="4">
        <v>174899.96710000001</v>
      </c>
      <c r="Z81" s="4">
        <v>7906.1763000000001</v>
      </c>
      <c r="AA81" s="4">
        <v>166993.79070000001</v>
      </c>
      <c r="AB81" s="4">
        <v>295674.51939999999</v>
      </c>
      <c r="AC81" s="4">
        <v>100525.59080000001</v>
      </c>
      <c r="AD81" s="4">
        <v>195148.92860000001</v>
      </c>
      <c r="AE81" s="4">
        <v>145937.15400000001</v>
      </c>
      <c r="AF81" s="4">
        <v>5799.6593000000003</v>
      </c>
      <c r="AG81" s="4">
        <v>4716.1775209999996</v>
      </c>
    </row>
    <row r="82" spans="1:33" x14ac:dyDescent="0.2">
      <c r="A82" s="3">
        <v>44713</v>
      </c>
      <c r="B82" s="4">
        <v>384542.11719999998</v>
      </c>
      <c r="C82" s="4">
        <v>48764.017599999999</v>
      </c>
      <c r="D82" s="4">
        <v>21674.664000000001</v>
      </c>
      <c r="E82" s="4">
        <v>27089.353599999999</v>
      </c>
      <c r="F82" s="5">
        <v>14994.894899999999</v>
      </c>
      <c r="G82" s="4">
        <v>7014.3486000000003</v>
      </c>
      <c r="H82" s="4">
        <v>7980.5464000000002</v>
      </c>
      <c r="I82" s="4">
        <v>-605.41980000000001</v>
      </c>
      <c r="J82" s="5">
        <v>17464.620200000001</v>
      </c>
      <c r="K82" s="4">
        <v>17.8261</v>
      </c>
      <c r="L82" s="4">
        <v>17446.794099999999</v>
      </c>
      <c r="M82" s="4">
        <v>160727.87119999999</v>
      </c>
      <c r="N82" s="4">
        <v>136926.41579999999</v>
      </c>
      <c r="O82" s="4">
        <v>9200.9838999999993</v>
      </c>
      <c r="P82" s="4">
        <v>14600.471600000001</v>
      </c>
      <c r="Q82" s="4">
        <v>881.93209999999999</v>
      </c>
      <c r="R82" s="4">
        <v>881.93209999999999</v>
      </c>
      <c r="S82" s="4">
        <v>142314.2009</v>
      </c>
      <c r="T82" s="4">
        <v>-325338.55219999998</v>
      </c>
      <c r="U82" s="4">
        <v>709880.66929999995</v>
      </c>
      <c r="V82" s="4">
        <v>68574.357399999994</v>
      </c>
      <c r="W82" s="4">
        <v>0</v>
      </c>
      <c r="X82" s="4">
        <v>68574.357399999994</v>
      </c>
      <c r="Y82" s="4">
        <v>194115.5784</v>
      </c>
      <c r="Z82" s="4">
        <v>12847.942300000001</v>
      </c>
      <c r="AA82" s="4">
        <v>181267.6361</v>
      </c>
      <c r="AB82" s="4">
        <v>302579.31800000003</v>
      </c>
      <c r="AC82" s="4">
        <v>97586.474499999997</v>
      </c>
      <c r="AD82" s="4">
        <v>204992.84349999999</v>
      </c>
      <c r="AE82" s="4">
        <v>144611.4155</v>
      </c>
      <c r="AF82" s="4">
        <v>7854.6049000000003</v>
      </c>
      <c r="AG82" s="4">
        <v>4161.8207929999999</v>
      </c>
    </row>
    <row r="83" spans="1:33" x14ac:dyDescent="0.2">
      <c r="A83" s="3">
        <v>44805</v>
      </c>
      <c r="B83" s="4">
        <v>383050.61800000002</v>
      </c>
      <c r="C83" s="4">
        <v>49568.284200000002</v>
      </c>
      <c r="D83" s="4">
        <v>16171.039199999999</v>
      </c>
      <c r="E83" s="4">
        <v>33397.244899999998</v>
      </c>
      <c r="F83" s="5">
        <v>10474.4071</v>
      </c>
      <c r="G83" s="4">
        <v>4670.1531999999997</v>
      </c>
      <c r="H83" s="4">
        <v>5804.2538000000004</v>
      </c>
      <c r="I83" s="4">
        <v>-672.81640000000004</v>
      </c>
      <c r="J83" s="5">
        <v>19188.254000000001</v>
      </c>
      <c r="K83" s="4">
        <v>18.766200000000001</v>
      </c>
      <c r="L83" s="4">
        <v>19169.487799999999</v>
      </c>
      <c r="M83" s="4">
        <v>159304.16940000001</v>
      </c>
      <c r="N83" s="4">
        <v>133518.9086</v>
      </c>
      <c r="O83" s="4">
        <v>9481.2206000000006</v>
      </c>
      <c r="P83" s="4">
        <v>16304.040300000001</v>
      </c>
      <c r="Q83" s="4">
        <v>937.68640000000005</v>
      </c>
      <c r="R83" s="4">
        <v>937.68640000000005</v>
      </c>
      <c r="S83" s="4">
        <v>144250.63329999999</v>
      </c>
      <c r="T83" s="4">
        <v>-344028.14889999997</v>
      </c>
      <c r="U83" s="4">
        <v>727078.76699999999</v>
      </c>
      <c r="V83" s="4">
        <v>68094.626900000003</v>
      </c>
      <c r="W83" s="4">
        <v>0</v>
      </c>
      <c r="X83" s="4">
        <v>68094.626900000003</v>
      </c>
      <c r="Y83" s="4">
        <v>202713.38310000001</v>
      </c>
      <c r="Z83" s="4">
        <v>14410.691000000001</v>
      </c>
      <c r="AA83" s="4">
        <v>188302.69209999999</v>
      </c>
      <c r="AB83" s="4">
        <v>308756.34749999997</v>
      </c>
      <c r="AC83" s="4">
        <v>100601.9184</v>
      </c>
      <c r="AD83" s="4">
        <v>208154.42910000001</v>
      </c>
      <c r="AE83" s="4">
        <v>147514.40950000001</v>
      </c>
      <c r="AF83" s="4">
        <v>7962.1971999999996</v>
      </c>
      <c r="AG83" s="4">
        <v>4258.6850919999997</v>
      </c>
    </row>
    <row r="84" spans="1:33" x14ac:dyDescent="0.2">
      <c r="A84" s="3">
        <v>44896</v>
      </c>
      <c r="B84" s="4">
        <v>389487.16739999998</v>
      </c>
      <c r="C84" s="4">
        <v>47167.224699999999</v>
      </c>
      <c r="D84" s="4">
        <v>13748.233</v>
      </c>
      <c r="E84" s="4">
        <v>33418.991699999999</v>
      </c>
      <c r="F84" s="5">
        <v>12027.0069</v>
      </c>
      <c r="G84" s="4">
        <v>4425.2325000000001</v>
      </c>
      <c r="H84" s="4">
        <v>7601.7744000000002</v>
      </c>
      <c r="I84" s="4">
        <v>479.52159999999998</v>
      </c>
      <c r="J84" s="5">
        <v>17190.029500000001</v>
      </c>
      <c r="K84" s="4">
        <v>14.9262</v>
      </c>
      <c r="L84" s="4">
        <v>17175.103299999999</v>
      </c>
      <c r="M84" s="4">
        <v>155298.99849999999</v>
      </c>
      <c r="N84" s="4">
        <v>130452.5019</v>
      </c>
      <c r="O84" s="4">
        <v>9569.3961999999992</v>
      </c>
      <c r="P84" s="4">
        <v>15277.100399999999</v>
      </c>
      <c r="Q84" s="4">
        <v>970.27160000000003</v>
      </c>
      <c r="R84" s="4">
        <v>970.27160000000003</v>
      </c>
      <c r="S84" s="4">
        <v>156354.11470000001</v>
      </c>
      <c r="T84" s="4">
        <v>-333420.33010000002</v>
      </c>
      <c r="U84" s="4">
        <v>722907.49750000006</v>
      </c>
      <c r="V84" s="4">
        <v>67832.379199999996</v>
      </c>
      <c r="W84" s="4">
        <v>0</v>
      </c>
      <c r="X84" s="4">
        <v>67832.379199999996</v>
      </c>
      <c r="Y84" s="4">
        <v>189633.80900000001</v>
      </c>
      <c r="Z84" s="4">
        <v>10844.8817</v>
      </c>
      <c r="AA84" s="4">
        <v>178788.92730000001</v>
      </c>
      <c r="AB84" s="4">
        <v>310424.3187</v>
      </c>
      <c r="AC84" s="4">
        <v>105665.87450000001</v>
      </c>
      <c r="AD84" s="4">
        <v>204758.4442</v>
      </c>
      <c r="AE84" s="4">
        <v>155016.99059999999</v>
      </c>
      <c r="AF84" s="4">
        <v>4798.9012000000002</v>
      </c>
      <c r="AG84" s="4">
        <v>4443.3349150000004</v>
      </c>
    </row>
    <row r="85" spans="1:33" x14ac:dyDescent="0.2">
      <c r="A85" s="3">
        <v>44986</v>
      </c>
      <c r="B85" s="4">
        <v>398660.54840000003</v>
      </c>
      <c r="C85" s="4">
        <v>45170.545100000003</v>
      </c>
      <c r="D85" s="4">
        <v>12576.019899999999</v>
      </c>
      <c r="E85" s="4">
        <v>32594.5252</v>
      </c>
      <c r="F85" s="5">
        <v>13855.603800000001</v>
      </c>
      <c r="G85" s="4">
        <v>3900.3604999999998</v>
      </c>
      <c r="H85" s="4">
        <v>9955.2433000000001</v>
      </c>
      <c r="I85" s="4">
        <v>627.54160000000002</v>
      </c>
      <c r="J85" s="5">
        <v>15757.6396</v>
      </c>
      <c r="K85" s="4">
        <v>12.9406</v>
      </c>
      <c r="L85" s="4">
        <v>15744.699000000001</v>
      </c>
      <c r="M85" s="4">
        <v>160889.83360000001</v>
      </c>
      <c r="N85" s="4">
        <v>134521.24179999999</v>
      </c>
      <c r="O85" s="4">
        <v>11531.9699</v>
      </c>
      <c r="P85" s="4">
        <v>14836.621800000001</v>
      </c>
      <c r="Q85" s="4">
        <v>962.34799999999996</v>
      </c>
      <c r="R85" s="4">
        <v>962.34799999999996</v>
      </c>
      <c r="S85" s="4">
        <v>161397.0368</v>
      </c>
      <c r="T85" s="4">
        <v>-324932.2757</v>
      </c>
      <c r="U85" s="4">
        <v>723592.82400000002</v>
      </c>
      <c r="V85" s="4">
        <v>65450.360500000003</v>
      </c>
      <c r="W85" s="4">
        <v>0</v>
      </c>
      <c r="X85" s="4">
        <v>65450.360500000003</v>
      </c>
      <c r="Y85" s="4">
        <v>180560.43290000001</v>
      </c>
      <c r="Z85" s="4">
        <v>10688.0154</v>
      </c>
      <c r="AA85" s="4">
        <v>169872.41750000001</v>
      </c>
      <c r="AB85" s="4">
        <v>315512.2464</v>
      </c>
      <c r="AC85" s="4">
        <v>104497.18180000001</v>
      </c>
      <c r="AD85" s="4">
        <v>211015.06460000001</v>
      </c>
      <c r="AE85" s="4">
        <v>162069.7843</v>
      </c>
      <c r="AF85" s="4">
        <v>3974.1484</v>
      </c>
      <c r="AG85" s="4">
        <v>4218.5375780000004</v>
      </c>
    </row>
    <row r="86" spans="1:33" x14ac:dyDescent="0.2">
      <c r="A86" s="3">
        <v>45078</v>
      </c>
      <c r="B86" s="4">
        <v>395918.65639999998</v>
      </c>
      <c r="C86" s="4">
        <v>45239.828699999998</v>
      </c>
      <c r="D86" s="4">
        <v>13173.751200000001</v>
      </c>
      <c r="E86" s="4">
        <v>32066.077399999998</v>
      </c>
      <c r="F86" s="5">
        <v>13477.581099999999</v>
      </c>
      <c r="G86" s="4">
        <v>4401.4578000000001</v>
      </c>
      <c r="H86" s="4">
        <v>9076.1232999999993</v>
      </c>
      <c r="I86" s="4">
        <v>125.2637</v>
      </c>
      <c r="J86" s="5">
        <v>16012.8262</v>
      </c>
      <c r="K86" s="4">
        <v>15.1167</v>
      </c>
      <c r="L86" s="4">
        <v>15997.709500000001</v>
      </c>
      <c r="M86" s="4">
        <v>167069.72219999999</v>
      </c>
      <c r="N86" s="4">
        <v>138075.0901</v>
      </c>
      <c r="O86" s="4">
        <v>13088.792799999999</v>
      </c>
      <c r="P86" s="4">
        <v>15905.8393</v>
      </c>
      <c r="Q86" s="4">
        <v>952.89239999999995</v>
      </c>
      <c r="R86" s="4">
        <v>952.89239999999995</v>
      </c>
      <c r="S86" s="4">
        <v>153040.54209999999</v>
      </c>
      <c r="T86" s="4">
        <v>-331664.61599999998</v>
      </c>
      <c r="U86" s="4">
        <v>727583.27229999995</v>
      </c>
      <c r="V86" s="4">
        <v>65851.101899999994</v>
      </c>
      <c r="W86" s="4">
        <v>0</v>
      </c>
      <c r="X86" s="4">
        <v>65851.101899999994</v>
      </c>
      <c r="Y86" s="4">
        <v>184480.26740000001</v>
      </c>
      <c r="Z86" s="4">
        <v>12335.470799999999</v>
      </c>
      <c r="AA86" s="4">
        <v>172144.7965</v>
      </c>
      <c r="AB86" s="4">
        <v>321131.32949999999</v>
      </c>
      <c r="AC86" s="4">
        <v>107970.1148</v>
      </c>
      <c r="AD86" s="4">
        <v>213161.21479999999</v>
      </c>
      <c r="AE86" s="4">
        <v>156120.5735</v>
      </c>
      <c r="AF86" s="4">
        <v>3710.8303999999998</v>
      </c>
      <c r="AG86" s="4">
        <v>4189.1548620000003</v>
      </c>
    </row>
    <row r="87" spans="1:33" x14ac:dyDescent="0.2">
      <c r="A87" s="3">
        <v>45170</v>
      </c>
      <c r="B87" s="4">
        <v>396866.33179999999</v>
      </c>
      <c r="C87" s="4">
        <v>48500.1875</v>
      </c>
      <c r="D87" s="4">
        <v>12369.127500000001</v>
      </c>
      <c r="E87" s="4">
        <v>36131.06</v>
      </c>
      <c r="F87" s="5">
        <v>14002.639800000001</v>
      </c>
      <c r="G87" s="4">
        <v>5600.0860000000002</v>
      </c>
      <c r="H87" s="4">
        <v>8402.5537000000004</v>
      </c>
      <c r="I87" s="4">
        <v>-562.46759999999995</v>
      </c>
      <c r="J87" s="5">
        <v>18290.918900000001</v>
      </c>
      <c r="K87" s="4">
        <v>14.185700000000001</v>
      </c>
      <c r="L87" s="4">
        <v>18276.7333</v>
      </c>
      <c r="M87" s="4">
        <v>170260.0882</v>
      </c>
      <c r="N87" s="4">
        <v>136998.5368</v>
      </c>
      <c r="O87" s="4">
        <v>16198.6921</v>
      </c>
      <c r="P87" s="4">
        <v>17062.8593</v>
      </c>
      <c r="Q87" s="4">
        <v>980.86950000000002</v>
      </c>
      <c r="R87" s="4">
        <v>980.86950000000002</v>
      </c>
      <c r="S87" s="4">
        <v>145394.09539999999</v>
      </c>
      <c r="T87" s="4">
        <v>-347479.89419999998</v>
      </c>
      <c r="U87" s="4">
        <v>744346.22600000002</v>
      </c>
      <c r="V87" s="4">
        <v>69036.788199999995</v>
      </c>
      <c r="W87" s="4">
        <v>0</v>
      </c>
      <c r="X87" s="4">
        <v>69036.788199999995</v>
      </c>
      <c r="Y87" s="4">
        <v>197999.57810000001</v>
      </c>
      <c r="Z87" s="4">
        <v>13657.187599999999</v>
      </c>
      <c r="AA87" s="4">
        <v>184342.39050000001</v>
      </c>
      <c r="AB87" s="4">
        <v>326503.4473</v>
      </c>
      <c r="AC87" s="4">
        <v>106929.1771</v>
      </c>
      <c r="AD87" s="4">
        <v>219574.2702</v>
      </c>
      <c r="AE87" s="4">
        <v>150806.4124</v>
      </c>
      <c r="AF87" s="4">
        <v>4936.1795000000002</v>
      </c>
      <c r="AG87" s="4">
        <v>4151.9012270000003</v>
      </c>
    </row>
    <row r="88" spans="1:33" x14ac:dyDescent="0.2">
      <c r="A88" s="3">
        <v>45261</v>
      </c>
      <c r="B88" s="4">
        <v>406023.03769999999</v>
      </c>
      <c r="C88" s="4">
        <v>49723.086199999998</v>
      </c>
      <c r="D88" s="4">
        <v>16497.117600000001</v>
      </c>
      <c r="E88" s="4">
        <v>33225.9686</v>
      </c>
      <c r="F88" s="5">
        <v>13923.7104</v>
      </c>
      <c r="G88" s="4">
        <v>5623.4956000000002</v>
      </c>
      <c r="H88" s="4">
        <v>8300.2147999999997</v>
      </c>
      <c r="I88" s="4">
        <v>-802.23599999999999</v>
      </c>
      <c r="J88" s="5">
        <v>18329.4388</v>
      </c>
      <c r="K88" s="4">
        <v>15.8872</v>
      </c>
      <c r="L88" s="4">
        <v>18313.5517</v>
      </c>
      <c r="M88" s="4">
        <v>173665.30179999999</v>
      </c>
      <c r="N88" s="4">
        <v>140122.35930000001</v>
      </c>
      <c r="O88" s="4">
        <v>17600.2359</v>
      </c>
      <c r="P88" s="4">
        <v>15942.7066</v>
      </c>
      <c r="Q88" s="4">
        <v>989.61279999999999</v>
      </c>
      <c r="R88" s="4">
        <v>989.61279999999999</v>
      </c>
      <c r="S88" s="4">
        <v>150194.1237</v>
      </c>
      <c r="T88" s="4">
        <v>-349317.67599999998</v>
      </c>
      <c r="U88" s="4">
        <v>755340.71369999996</v>
      </c>
      <c r="V88" s="4">
        <v>71095.428499999995</v>
      </c>
      <c r="W88" s="4">
        <v>0</v>
      </c>
      <c r="X88" s="4">
        <v>71095.428499999995</v>
      </c>
      <c r="Y88" s="4">
        <v>198747.1629</v>
      </c>
      <c r="Z88" s="4">
        <v>12547.826999999999</v>
      </c>
      <c r="AA88" s="4">
        <v>186199.33590000001</v>
      </c>
      <c r="AB88" s="4">
        <v>330624.4621</v>
      </c>
      <c r="AC88" s="4">
        <v>111183.424</v>
      </c>
      <c r="AD88" s="4">
        <v>219441.03810000001</v>
      </c>
      <c r="AE88" s="4">
        <v>154873.66020000001</v>
      </c>
      <c r="AF88" s="4">
        <v>3915.8984999999998</v>
      </c>
      <c r="AG88" s="4">
        <v>4836.0702149999997</v>
      </c>
    </row>
    <row r="89" spans="1:33" x14ac:dyDescent="0.2">
      <c r="A89" s="3">
        <v>45352</v>
      </c>
      <c r="B89" s="4">
        <v>424301.21870000003</v>
      </c>
      <c r="C89" s="4">
        <v>53523.3796</v>
      </c>
      <c r="D89" s="4">
        <v>15735.929700000001</v>
      </c>
      <c r="E89" s="4">
        <v>37787.449800000002</v>
      </c>
      <c r="F89" s="5">
        <v>13241.2744</v>
      </c>
      <c r="G89" s="4">
        <v>5405.9395000000004</v>
      </c>
      <c r="H89" s="4">
        <v>7835.3348999999998</v>
      </c>
      <c r="I89" s="4">
        <v>-1341.1285</v>
      </c>
      <c r="J89" s="5">
        <v>20606.712899999999</v>
      </c>
      <c r="K89" s="4">
        <v>14.048400000000001</v>
      </c>
      <c r="L89" s="4">
        <v>20592.664499999999</v>
      </c>
      <c r="M89" s="4">
        <v>188069.0429</v>
      </c>
      <c r="N89" s="4">
        <v>150809.01939999999</v>
      </c>
      <c r="O89" s="4">
        <v>19587.075700000001</v>
      </c>
      <c r="P89" s="4">
        <v>17672.947700000001</v>
      </c>
      <c r="Q89" s="4">
        <v>1008.0642</v>
      </c>
      <c r="R89" s="4">
        <v>1008.0642</v>
      </c>
      <c r="S89" s="4">
        <v>149193.87330000001</v>
      </c>
      <c r="T89" s="4">
        <v>-360632.44669999997</v>
      </c>
      <c r="U89" s="4">
        <v>784933.66540000006</v>
      </c>
      <c r="V89" s="4">
        <v>77947.423200000005</v>
      </c>
      <c r="W89" s="4">
        <v>1.9573</v>
      </c>
      <c r="X89" s="4">
        <v>77945.465800000005</v>
      </c>
      <c r="Y89" s="4">
        <v>210295.59570000001</v>
      </c>
      <c r="Z89" s="4">
        <v>13626.5198</v>
      </c>
      <c r="AA89" s="4">
        <v>196669.0759</v>
      </c>
      <c r="AB89" s="4">
        <v>342906.05660000001</v>
      </c>
      <c r="AC89" s="4">
        <v>117228.36440000001</v>
      </c>
      <c r="AD89" s="4">
        <v>225677.6923</v>
      </c>
      <c r="AE89" s="4">
        <v>153784.58989999999</v>
      </c>
      <c r="AF89" s="4">
        <v>4637.8442999999997</v>
      </c>
      <c r="AG89" s="4">
        <v>4479.0126339999997</v>
      </c>
    </row>
    <row r="90" spans="1:33" x14ac:dyDescent="0.2">
      <c r="A90" s="3">
        <v>45444</v>
      </c>
      <c r="B90" s="4">
        <v>424841.66149999999</v>
      </c>
      <c r="C90" s="4">
        <v>49951.2428</v>
      </c>
      <c r="D90" s="4">
        <v>15501.618700000001</v>
      </c>
      <c r="E90" s="4">
        <v>34449.624000000003</v>
      </c>
      <c r="F90" s="5">
        <v>14896.510399999999</v>
      </c>
      <c r="G90" s="4">
        <v>6420.6796000000004</v>
      </c>
      <c r="H90" s="4">
        <v>8475.8309000000008</v>
      </c>
      <c r="I90" s="4">
        <v>-796.93259999999998</v>
      </c>
      <c r="J90" s="5">
        <v>19937.419699999999</v>
      </c>
      <c r="K90" s="4">
        <v>6.2401</v>
      </c>
      <c r="L90" s="4">
        <v>19931.179700000001</v>
      </c>
      <c r="M90" s="4">
        <v>183994.0753</v>
      </c>
      <c r="N90" s="4">
        <v>145673.06760000001</v>
      </c>
      <c r="O90" s="4">
        <v>20834.823700000001</v>
      </c>
      <c r="P90" s="4">
        <v>17486.184099999999</v>
      </c>
      <c r="Q90" s="4">
        <v>993.90350000000001</v>
      </c>
      <c r="R90" s="4">
        <v>993.90350000000001</v>
      </c>
      <c r="S90" s="4">
        <v>155865.4423</v>
      </c>
      <c r="T90" s="4">
        <v>-359657.91960000002</v>
      </c>
      <c r="U90" s="4">
        <v>784499.58100000001</v>
      </c>
      <c r="V90" s="4">
        <v>76428.403200000001</v>
      </c>
      <c r="W90" s="4">
        <v>8.5921000000000003</v>
      </c>
      <c r="X90" s="4">
        <v>76419.811100000006</v>
      </c>
      <c r="Y90" s="4">
        <v>208290.8475</v>
      </c>
      <c r="Z90" s="4">
        <v>14901.1769</v>
      </c>
      <c r="AA90" s="4">
        <v>193389.67060000001</v>
      </c>
      <c r="AB90" s="4">
        <v>340197.39529999997</v>
      </c>
      <c r="AC90" s="4">
        <v>113522.9706</v>
      </c>
      <c r="AD90" s="4">
        <v>226674.4247</v>
      </c>
      <c r="AE90" s="4">
        <v>159582.935</v>
      </c>
      <c r="AF90" s="4">
        <v>4192.0527000000002</v>
      </c>
      <c r="AG90" s="4">
        <v>4253.5420279999998</v>
      </c>
    </row>
    <row r="91" spans="1:33" x14ac:dyDescent="0.2">
      <c r="A91" s="3">
        <v>45536</v>
      </c>
      <c r="B91" s="4">
        <v>428500.91139999998</v>
      </c>
      <c r="C91" s="4">
        <v>48924.313000000002</v>
      </c>
      <c r="D91" s="4">
        <v>13942.6898</v>
      </c>
      <c r="E91" s="4">
        <v>34981.623200000002</v>
      </c>
      <c r="F91" s="5">
        <v>14685.9066</v>
      </c>
      <c r="G91" s="4">
        <v>6166.3453</v>
      </c>
      <c r="H91" s="4">
        <v>8519.5614000000005</v>
      </c>
      <c r="I91" s="4">
        <v>-913.98559999999998</v>
      </c>
      <c r="J91" s="5">
        <v>18829.1345</v>
      </c>
      <c r="K91" s="4">
        <v>4.9592999999999998</v>
      </c>
      <c r="L91" s="4">
        <v>18824.175299999999</v>
      </c>
      <c r="M91" s="4">
        <v>183910.3229</v>
      </c>
      <c r="N91" s="4">
        <v>144540.36780000001</v>
      </c>
      <c r="O91" s="4">
        <v>20776.582299999998</v>
      </c>
      <c r="P91" s="4">
        <v>18593.372800000001</v>
      </c>
      <c r="Q91" s="4">
        <v>1012.3607</v>
      </c>
      <c r="R91" s="4">
        <v>1012.3607</v>
      </c>
      <c r="S91" s="4">
        <v>162052.8591</v>
      </c>
      <c r="T91" s="4">
        <v>-361861.26789999998</v>
      </c>
      <c r="U91" s="4">
        <v>790362.17929999996</v>
      </c>
      <c r="V91" s="4">
        <v>78173.626199999999</v>
      </c>
      <c r="W91" s="4">
        <v>9.6734000000000009</v>
      </c>
      <c r="X91" s="4">
        <v>78163.952900000004</v>
      </c>
      <c r="Y91" s="4">
        <v>201789.21950000001</v>
      </c>
      <c r="Z91" s="4">
        <v>13600.487999999999</v>
      </c>
      <c r="AA91" s="4">
        <v>188188.73149999999</v>
      </c>
      <c r="AB91" s="4">
        <v>343363.16869999998</v>
      </c>
      <c r="AC91" s="4">
        <v>112000.2007</v>
      </c>
      <c r="AD91" s="4">
        <v>231362.96799999999</v>
      </c>
      <c r="AE91" s="4">
        <v>167036.1648</v>
      </c>
      <c r="AF91" s="4">
        <v>4022.8132999999998</v>
      </c>
      <c r="AG91" s="4">
        <v>4542.5037849999999</v>
      </c>
    </row>
    <row r="92" spans="1:33" x14ac:dyDescent="0.2">
      <c r="A92" s="3">
        <v>45627</v>
      </c>
      <c r="B92" s="4">
        <v>444390.30780000001</v>
      </c>
      <c r="C92" s="4">
        <v>51860.947500000002</v>
      </c>
      <c r="D92" s="4">
        <v>14760.417299999999</v>
      </c>
      <c r="E92" s="4">
        <v>37100.530100000004</v>
      </c>
      <c r="F92" s="5">
        <v>14108.8069</v>
      </c>
      <c r="G92" s="4">
        <v>6254.4147000000003</v>
      </c>
      <c r="H92" s="4">
        <v>7854.3922000000002</v>
      </c>
      <c r="I92" s="4">
        <v>-372.75720000000001</v>
      </c>
      <c r="J92" s="5">
        <v>21092.7412</v>
      </c>
      <c r="K92" s="4">
        <v>4.9592999999999998</v>
      </c>
      <c r="L92" s="4">
        <v>21087.781999999999</v>
      </c>
      <c r="M92" s="4">
        <v>191894.2206</v>
      </c>
      <c r="N92" s="4">
        <v>149899.93179999999</v>
      </c>
      <c r="O92" s="4">
        <v>22331.452399999998</v>
      </c>
      <c r="P92" s="4">
        <v>19662.836299999999</v>
      </c>
      <c r="Q92" s="4">
        <v>1042.0119</v>
      </c>
      <c r="R92" s="4">
        <v>1042.0119</v>
      </c>
      <c r="S92" s="4">
        <v>164764.337</v>
      </c>
      <c r="T92" s="4">
        <v>-375615.95140000002</v>
      </c>
      <c r="U92" s="4">
        <v>820006.25919999997</v>
      </c>
      <c r="V92" s="4">
        <v>82398.478199999998</v>
      </c>
      <c r="W92" s="4">
        <v>4.9309000000000003</v>
      </c>
      <c r="X92" s="4">
        <v>82393.547300000006</v>
      </c>
      <c r="Y92" s="4">
        <v>211173.50390000001</v>
      </c>
      <c r="Z92" s="4">
        <v>15014.8362</v>
      </c>
      <c r="AA92" s="4">
        <v>196158.66769999999</v>
      </c>
      <c r="AB92" s="4">
        <v>358466.8921</v>
      </c>
      <c r="AC92" s="4">
        <v>116311.0812</v>
      </c>
      <c r="AD92" s="4">
        <v>242155.81090000001</v>
      </c>
      <c r="AE92" s="4">
        <v>167967.3849</v>
      </c>
      <c r="AF92" s="4">
        <v>5724.7936</v>
      </c>
      <c r="AG92" s="4">
        <v>4668.0856389999999</v>
      </c>
    </row>
    <row r="93" spans="1:33" x14ac:dyDescent="0.2">
      <c r="A93" s="3">
        <v>45717</v>
      </c>
      <c r="B93" s="4">
        <v>452994.4902</v>
      </c>
      <c r="C93" s="4">
        <v>52373.856399999997</v>
      </c>
      <c r="D93" s="4">
        <v>15704.224700000001</v>
      </c>
      <c r="E93" s="4">
        <v>36669.631699999998</v>
      </c>
      <c r="F93" s="5">
        <v>14770.733099999999</v>
      </c>
      <c r="G93" s="4">
        <v>5946.0806000000002</v>
      </c>
      <c r="H93" s="4">
        <v>8824.6525999999994</v>
      </c>
      <c r="I93" s="4">
        <v>-1103.5930000000001</v>
      </c>
      <c r="J93" s="5">
        <v>20337.0412</v>
      </c>
      <c r="K93" s="4">
        <v>5.5709999999999997</v>
      </c>
      <c r="L93" s="4">
        <v>20331.4702</v>
      </c>
      <c r="M93" s="4">
        <v>196430.18309999999</v>
      </c>
      <c r="N93" s="4">
        <v>154630.77420000001</v>
      </c>
      <c r="O93" s="4">
        <v>21633.597300000001</v>
      </c>
      <c r="P93" s="4">
        <v>20165.8115</v>
      </c>
      <c r="Q93" s="4">
        <v>1052.2302</v>
      </c>
      <c r="R93" s="4">
        <v>1052.2302</v>
      </c>
      <c r="S93" s="4">
        <v>169134.0392</v>
      </c>
      <c r="T93" s="4">
        <v>-379931.20929999999</v>
      </c>
      <c r="U93" s="4">
        <v>832925.69949999999</v>
      </c>
      <c r="V93" s="4">
        <v>82456.863299999997</v>
      </c>
      <c r="W93" s="4">
        <v>10.4193</v>
      </c>
      <c r="X93" s="4">
        <v>82446.443899999998</v>
      </c>
      <c r="Y93" s="4">
        <v>206996.73259999999</v>
      </c>
      <c r="Z93" s="4">
        <v>12945.2891</v>
      </c>
      <c r="AA93" s="4">
        <v>194051.44339999999</v>
      </c>
      <c r="AB93" s="4">
        <v>368205.50280000002</v>
      </c>
      <c r="AC93" s="4">
        <v>126505.86599999999</v>
      </c>
      <c r="AD93" s="4">
        <v>241699.63680000001</v>
      </c>
      <c r="AE93" s="4">
        <v>175266.60079999999</v>
      </c>
      <c r="AF93" s="4">
        <v>4998.3517000000002</v>
      </c>
      <c r="AG93" s="4">
        <v>4888.6237000000001</v>
      </c>
    </row>
    <row r="94" spans="1:33" x14ac:dyDescent="0.2">
      <c r="A94" s="3">
        <v>45809</v>
      </c>
      <c r="B94" s="4">
        <v>461853.37</v>
      </c>
      <c r="C94" s="4">
        <v>51387.8459</v>
      </c>
      <c r="D94" s="4">
        <v>14945.4036</v>
      </c>
      <c r="E94" s="4">
        <v>36442.442300000002</v>
      </c>
      <c r="F94" s="5">
        <v>15870.5074</v>
      </c>
      <c r="G94" s="4">
        <v>6580.1878999999999</v>
      </c>
      <c r="H94" s="4">
        <v>9290.3194999999996</v>
      </c>
      <c r="I94" s="4">
        <v>-524.73620000000005</v>
      </c>
      <c r="J94" s="5">
        <v>20192.341400000001</v>
      </c>
      <c r="K94" s="4">
        <v>4.2786999999999997</v>
      </c>
      <c r="L94" s="4">
        <v>20188.0628</v>
      </c>
      <c r="M94" s="4">
        <v>203217.25690000001</v>
      </c>
      <c r="N94" s="4">
        <v>158819.20790000001</v>
      </c>
      <c r="O94" s="4">
        <v>23078.004300000001</v>
      </c>
      <c r="P94" s="4">
        <v>21320.044699999999</v>
      </c>
      <c r="Q94" s="4">
        <v>1060.8226</v>
      </c>
      <c r="R94" s="4">
        <v>1060.8226</v>
      </c>
      <c r="S94" s="4">
        <v>170649.33180000001</v>
      </c>
      <c r="T94" s="4">
        <v>-386985.22580000001</v>
      </c>
      <c r="U94" s="4">
        <v>848838.59580000001</v>
      </c>
      <c r="V94" s="4">
        <v>83113.619900000005</v>
      </c>
      <c r="W94" s="4">
        <v>13.3512</v>
      </c>
      <c r="X94" s="4">
        <v>83100.268700000001</v>
      </c>
      <c r="Y94" s="4">
        <v>207783.2843</v>
      </c>
      <c r="Z94" s="4">
        <v>14514.4195</v>
      </c>
      <c r="AA94" s="4">
        <v>193268.86480000001</v>
      </c>
      <c r="AB94" s="4">
        <v>378295.25780000002</v>
      </c>
      <c r="AC94" s="4">
        <v>132030.78450000001</v>
      </c>
      <c r="AD94" s="4">
        <v>246264.47330000001</v>
      </c>
      <c r="AE94" s="4">
        <v>179646.4338</v>
      </c>
      <c r="AF94" s="4">
        <v>5607.1000999999997</v>
      </c>
      <c r="AG94" s="4">
        <v>5012.7214999999997</v>
      </c>
    </row>
    <row r="95" spans="1:33" x14ac:dyDescent="0.2">
      <c r="A95" s="3">
        <v>45901</v>
      </c>
      <c r="B95" s="4">
        <v>471235.21590000001</v>
      </c>
      <c r="C95" s="4">
        <v>52624.014900000002</v>
      </c>
      <c r="D95" s="4">
        <v>14808.6412</v>
      </c>
      <c r="E95" s="4">
        <v>37815.373699999996</v>
      </c>
      <c r="F95" s="5">
        <v>16338.309600000001</v>
      </c>
      <c r="G95" s="4">
        <v>6490.5983999999999</v>
      </c>
      <c r="H95" s="4">
        <v>9847.7111999999997</v>
      </c>
      <c r="I95" s="4">
        <v>-614.14850000000001</v>
      </c>
      <c r="J95" s="5">
        <v>20910.247800000001</v>
      </c>
      <c r="K95" s="4">
        <v>6.0480999999999998</v>
      </c>
      <c r="L95" s="4">
        <v>20904.199700000001</v>
      </c>
      <c r="M95" s="4">
        <v>211737.18950000001</v>
      </c>
      <c r="N95" s="4">
        <v>166145.86799999999</v>
      </c>
      <c r="O95" s="4">
        <v>20616.052299999999</v>
      </c>
      <c r="P95" s="4">
        <v>24975.269199999999</v>
      </c>
      <c r="Q95" s="4">
        <v>1042.1058</v>
      </c>
      <c r="R95" s="4">
        <v>1042.1058</v>
      </c>
      <c r="S95" s="4">
        <v>169197.4969</v>
      </c>
      <c r="T95" s="4">
        <v>-403497.7365</v>
      </c>
      <c r="U95" s="4">
        <v>874732.95239999995</v>
      </c>
      <c r="V95" s="4">
        <v>86953.892500000002</v>
      </c>
      <c r="W95" s="4">
        <v>10.2224</v>
      </c>
      <c r="X95" s="4">
        <v>86943.670100000003</v>
      </c>
      <c r="Y95" s="4">
        <v>213105.1735</v>
      </c>
      <c r="Z95" s="4">
        <v>13416.7983</v>
      </c>
      <c r="AA95" s="4">
        <v>199688.37520000001</v>
      </c>
      <c r="AB95" s="4">
        <v>392881.52710000001</v>
      </c>
      <c r="AC95" s="4">
        <v>144706.0644</v>
      </c>
      <c r="AD95" s="4">
        <v>248175.4627</v>
      </c>
      <c r="AE95" s="4">
        <v>181792.35930000001</v>
      </c>
      <c r="AF95" s="4">
        <v>6507.5474000000004</v>
      </c>
      <c r="AG95" s="4">
        <v>5264.9840000000004</v>
      </c>
    </row>
  </sheetData>
  <mergeCells count="2">
    <mergeCell ref="A1:AG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2A3F-7689-C147-9DA4-DEDB1735EB46}">
  <sheetPr>
    <tabColor theme="7"/>
  </sheetPr>
  <dimension ref="A1:W95"/>
  <sheetViews>
    <sheetView workbookViewId="0">
      <selection activeCell="D3" sqref="D3"/>
    </sheetView>
  </sheetViews>
  <sheetFormatPr baseColWidth="10" defaultRowHeight="16" x14ac:dyDescent="0.2"/>
  <sheetData>
    <row r="1" spans="1:23" x14ac:dyDescent="0.2">
      <c r="A1" s="7" t="s">
        <v>138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</row>
    <row r="2" spans="1:23" x14ac:dyDescent="0.2">
      <c r="A2" s="8" t="s">
        <v>161</v>
      </c>
      <c r="B2" s="8"/>
      <c r="C2" t="s">
        <v>162</v>
      </c>
      <c r="D2" s="1">
        <f>B5-J5-N5-Q5-M5</f>
        <v>12422.901099999999</v>
      </c>
      <c r="E2" s="1">
        <f>C5+F5+K5+L5</f>
        <v>12422.900900000001</v>
      </c>
      <c r="F2" t="s">
        <v>163</v>
      </c>
      <c r="G2" s="1">
        <f>S5-W5</f>
        <v>11352.057700000001</v>
      </c>
      <c r="H2" s="1">
        <f>T5</f>
        <v>11352.057699999999</v>
      </c>
    </row>
    <row r="3" spans="1:23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139</v>
      </c>
      <c r="N3" s="2" t="s">
        <v>119</v>
      </c>
      <c r="O3" s="2" t="s">
        <v>140</v>
      </c>
      <c r="P3" s="2" t="s">
        <v>141</v>
      </c>
      <c r="Q3" s="2" t="s">
        <v>121</v>
      </c>
      <c r="R3" s="2" t="s">
        <v>39</v>
      </c>
      <c r="S3" s="2" t="s">
        <v>22</v>
      </c>
      <c r="T3" s="2" t="s">
        <v>142</v>
      </c>
      <c r="U3" s="2" t="s">
        <v>143</v>
      </c>
      <c r="V3" s="2" t="s">
        <v>144</v>
      </c>
      <c r="W3" s="2" t="s">
        <v>41</v>
      </c>
    </row>
    <row r="4" spans="1:23" x14ac:dyDescent="0.2">
      <c r="A4" s="3">
        <v>37591</v>
      </c>
      <c r="B4" s="4">
        <v>74974.6492</v>
      </c>
      <c r="C4" s="4">
        <v>8949.8202000000001</v>
      </c>
      <c r="D4" s="4">
        <v>1683.472</v>
      </c>
      <c r="E4" s="4">
        <v>7266.3482000000004</v>
      </c>
      <c r="F4" s="5">
        <v>2.3999000000000001</v>
      </c>
      <c r="G4" s="4">
        <v>2.3999000000000001</v>
      </c>
      <c r="H4" s="4">
        <v>0</v>
      </c>
      <c r="I4" s="4">
        <v>32583.2559</v>
      </c>
      <c r="J4" s="4">
        <v>30162.569</v>
      </c>
      <c r="K4" s="4">
        <v>1111.9728</v>
      </c>
      <c r="L4" s="4">
        <v>1308.7139999999999</v>
      </c>
      <c r="M4" s="4">
        <v>25225.016299999999</v>
      </c>
      <c r="N4" s="4">
        <v>8003.5780999999997</v>
      </c>
      <c r="O4" s="4">
        <v>7943.4357</v>
      </c>
      <c r="P4" s="4">
        <v>60.142400000000002</v>
      </c>
      <c r="Q4" s="4">
        <v>210.5789</v>
      </c>
      <c r="R4" s="4">
        <v>63152.542699999998</v>
      </c>
      <c r="S4" s="4">
        <v>11822.106599999999</v>
      </c>
      <c r="T4" s="4">
        <v>10959.896500000001</v>
      </c>
      <c r="U4" s="4">
        <v>1208.2148</v>
      </c>
      <c r="V4" s="4">
        <v>9751.6815999999999</v>
      </c>
      <c r="W4" s="4">
        <v>862.21010000000001</v>
      </c>
    </row>
    <row r="5" spans="1:23" x14ac:dyDescent="0.2">
      <c r="A5" s="3">
        <v>37681</v>
      </c>
      <c r="B5" s="4">
        <v>78202.022100000002</v>
      </c>
      <c r="C5" s="4">
        <v>10354.9861</v>
      </c>
      <c r="D5" s="4">
        <v>2446.9133999999999</v>
      </c>
      <c r="E5" s="4">
        <v>7908.0726999999997</v>
      </c>
      <c r="F5" s="5">
        <v>13.4903</v>
      </c>
      <c r="G5" s="4">
        <v>9.1616</v>
      </c>
      <c r="H5" s="4">
        <v>4.3287000000000004</v>
      </c>
      <c r="I5" s="4">
        <v>33490.580399999999</v>
      </c>
      <c r="J5" s="4">
        <v>31436.1558</v>
      </c>
      <c r="K5" s="4">
        <v>740.1671</v>
      </c>
      <c r="L5" s="4">
        <v>1314.2574</v>
      </c>
      <c r="M5" s="4">
        <v>25973.475699999999</v>
      </c>
      <c r="N5" s="4">
        <v>8143.0711000000001</v>
      </c>
      <c r="O5" s="4">
        <v>8084.1023999999998</v>
      </c>
      <c r="P5" s="4">
        <v>58.968699999999998</v>
      </c>
      <c r="Q5" s="4">
        <v>226.41839999999999</v>
      </c>
      <c r="R5" s="4">
        <v>65956.867299999998</v>
      </c>
      <c r="S5" s="4">
        <v>12245.1548</v>
      </c>
      <c r="T5" s="4">
        <v>11352.057699999999</v>
      </c>
      <c r="U5" s="4">
        <v>1273.0563999999999</v>
      </c>
      <c r="V5" s="4">
        <v>10079.0013</v>
      </c>
      <c r="W5" s="4">
        <v>893.09709999999995</v>
      </c>
    </row>
    <row r="6" spans="1:23" x14ac:dyDescent="0.2">
      <c r="A6" s="3">
        <v>37773</v>
      </c>
      <c r="B6" s="4">
        <v>81870.733500000002</v>
      </c>
      <c r="C6" s="4">
        <v>10775.408600000001</v>
      </c>
      <c r="D6" s="4">
        <v>3053.6060000000002</v>
      </c>
      <c r="E6" s="4">
        <v>7721.8026</v>
      </c>
      <c r="F6" s="5">
        <v>17.6633</v>
      </c>
      <c r="G6" s="4">
        <v>9.3643999999999998</v>
      </c>
      <c r="H6" s="4">
        <v>8.2988999999999997</v>
      </c>
      <c r="I6" s="4">
        <v>34988.512900000002</v>
      </c>
      <c r="J6" s="4">
        <v>32648.937000000002</v>
      </c>
      <c r="K6" s="4">
        <v>965.17570000000001</v>
      </c>
      <c r="L6" s="4">
        <v>1374.4001000000001</v>
      </c>
      <c r="M6" s="4">
        <v>27419.155900000002</v>
      </c>
      <c r="N6" s="4">
        <v>8405.2736999999997</v>
      </c>
      <c r="O6" s="4">
        <v>8342.9151000000002</v>
      </c>
      <c r="P6" s="4">
        <v>62.358600000000003</v>
      </c>
      <c r="Q6" s="4">
        <v>264.71910000000003</v>
      </c>
      <c r="R6" s="4">
        <v>69251.292300000001</v>
      </c>
      <c r="S6" s="4">
        <v>12619.441199999999</v>
      </c>
      <c r="T6" s="4">
        <v>11692.990599999999</v>
      </c>
      <c r="U6" s="4">
        <v>1240.3173999999999</v>
      </c>
      <c r="V6" s="4">
        <v>10452.6733</v>
      </c>
      <c r="W6" s="4">
        <v>926.45060000000001</v>
      </c>
    </row>
    <row r="7" spans="1:23" x14ac:dyDescent="0.2">
      <c r="A7" s="3">
        <v>37865</v>
      </c>
      <c r="B7" s="4">
        <v>85118.652100000007</v>
      </c>
      <c r="C7" s="4">
        <v>11322.3987</v>
      </c>
      <c r="D7" s="4">
        <v>3914.2449000000001</v>
      </c>
      <c r="E7" s="4">
        <v>7408.1538</v>
      </c>
      <c r="F7" s="5">
        <v>20.367599999999999</v>
      </c>
      <c r="G7" s="4">
        <v>8.4923999999999999</v>
      </c>
      <c r="H7" s="4">
        <v>11.8752</v>
      </c>
      <c r="I7" s="4">
        <v>36421.0075</v>
      </c>
      <c r="J7" s="4">
        <v>33795.945299999999</v>
      </c>
      <c r="K7" s="4">
        <v>1017.519</v>
      </c>
      <c r="L7" s="4">
        <v>1607.5432000000001</v>
      </c>
      <c r="M7" s="4">
        <v>28522.299500000001</v>
      </c>
      <c r="N7" s="4">
        <v>8590.5902999999998</v>
      </c>
      <c r="O7" s="4">
        <v>8528.5920999999998</v>
      </c>
      <c r="P7" s="4">
        <v>61.998199999999997</v>
      </c>
      <c r="Q7" s="4">
        <v>241.98849999999999</v>
      </c>
      <c r="R7" s="4">
        <v>72165.809200000003</v>
      </c>
      <c r="S7" s="4">
        <v>12952.8428</v>
      </c>
      <c r="T7" s="4">
        <v>11989.285</v>
      </c>
      <c r="U7" s="4">
        <v>1238.6385</v>
      </c>
      <c r="V7" s="4">
        <v>10750.646500000001</v>
      </c>
      <c r="W7" s="4">
        <v>963.55780000000004</v>
      </c>
    </row>
    <row r="8" spans="1:23" x14ac:dyDescent="0.2">
      <c r="A8" s="3">
        <v>37956</v>
      </c>
      <c r="B8" s="4">
        <v>87738.013399999996</v>
      </c>
      <c r="C8" s="4">
        <v>12260.267400000001</v>
      </c>
      <c r="D8" s="4">
        <v>5095.5084999999999</v>
      </c>
      <c r="E8" s="4">
        <v>7164.7588999999998</v>
      </c>
      <c r="F8" s="5">
        <v>25.557600000000001</v>
      </c>
      <c r="G8" s="4">
        <v>11.2882</v>
      </c>
      <c r="H8" s="4">
        <v>14.269299999999999</v>
      </c>
      <c r="I8" s="4">
        <v>37202.328200000004</v>
      </c>
      <c r="J8" s="4">
        <v>34433.708299999998</v>
      </c>
      <c r="K8" s="4">
        <v>1153.3996999999999</v>
      </c>
      <c r="L8" s="4">
        <v>1615.2202</v>
      </c>
      <c r="M8" s="4">
        <v>29248.091799999998</v>
      </c>
      <c r="N8" s="4">
        <v>8756.4562000000005</v>
      </c>
      <c r="O8" s="4">
        <v>8692.4883000000009</v>
      </c>
      <c r="P8" s="4">
        <v>63.9679</v>
      </c>
      <c r="Q8" s="4">
        <v>245.31219999999999</v>
      </c>
      <c r="R8" s="4">
        <v>74299.337599999999</v>
      </c>
      <c r="S8" s="4">
        <v>13438.6757</v>
      </c>
      <c r="T8" s="4">
        <v>12432.6919</v>
      </c>
      <c r="U8" s="4">
        <v>1251.8089</v>
      </c>
      <c r="V8" s="4">
        <v>11180.883</v>
      </c>
      <c r="W8" s="4">
        <v>1005.9838</v>
      </c>
    </row>
    <row r="9" spans="1:23" x14ac:dyDescent="0.2">
      <c r="A9" s="3">
        <v>38047</v>
      </c>
      <c r="B9" s="4">
        <v>89990.935200000007</v>
      </c>
      <c r="C9" s="4">
        <v>11828.957700000001</v>
      </c>
      <c r="D9" s="4">
        <v>5005.9480999999996</v>
      </c>
      <c r="E9" s="4">
        <v>6823.0096000000003</v>
      </c>
      <c r="F9" s="5">
        <v>28.318300000000001</v>
      </c>
      <c r="G9" s="4">
        <v>8.3194999999999997</v>
      </c>
      <c r="H9" s="4">
        <v>19.998799999999999</v>
      </c>
      <c r="I9" s="4">
        <v>38468.381500000003</v>
      </c>
      <c r="J9" s="4">
        <v>35111.453200000004</v>
      </c>
      <c r="K9" s="4">
        <v>1338.2384999999999</v>
      </c>
      <c r="L9" s="4">
        <v>2018.6898000000001</v>
      </c>
      <c r="M9" s="4">
        <v>30491.431100000002</v>
      </c>
      <c r="N9" s="4">
        <v>8905.1378999999997</v>
      </c>
      <c r="O9" s="4">
        <v>8838.7813000000006</v>
      </c>
      <c r="P9" s="4">
        <v>66.3566</v>
      </c>
      <c r="Q9" s="4">
        <v>268.70859999999999</v>
      </c>
      <c r="R9" s="4">
        <v>75731.296100000007</v>
      </c>
      <c r="S9" s="4">
        <v>14259.638999999999</v>
      </c>
      <c r="T9" s="4">
        <v>13242.0221</v>
      </c>
      <c r="U9" s="4">
        <v>1771.7961</v>
      </c>
      <c r="V9" s="4">
        <v>11470.225899999999</v>
      </c>
      <c r="W9" s="4">
        <v>1017.617</v>
      </c>
    </row>
    <row r="10" spans="1:23" x14ac:dyDescent="0.2">
      <c r="A10" s="3">
        <v>38139</v>
      </c>
      <c r="B10" s="4">
        <v>92483.274900000004</v>
      </c>
      <c r="C10" s="4">
        <v>12674.102800000001</v>
      </c>
      <c r="D10" s="4">
        <v>5881.0011999999997</v>
      </c>
      <c r="E10" s="4">
        <v>6793.1016</v>
      </c>
      <c r="F10" s="5">
        <v>29.594899999999999</v>
      </c>
      <c r="G10" s="4">
        <v>3.8927</v>
      </c>
      <c r="H10" s="4">
        <v>25.702200000000001</v>
      </c>
      <c r="I10" s="4">
        <v>39389.190999999999</v>
      </c>
      <c r="J10" s="4">
        <v>35668.372000000003</v>
      </c>
      <c r="K10" s="4">
        <v>1308.6044999999999</v>
      </c>
      <c r="L10" s="4">
        <v>2412.2145</v>
      </c>
      <c r="M10" s="4">
        <v>30942.466700000001</v>
      </c>
      <c r="N10" s="4">
        <v>9171.3348999999998</v>
      </c>
      <c r="O10" s="4">
        <v>9099.6309000000001</v>
      </c>
      <c r="P10" s="4">
        <v>71.703999999999994</v>
      </c>
      <c r="Q10" s="4">
        <v>276.58449999999999</v>
      </c>
      <c r="R10" s="4">
        <v>77653.320099999997</v>
      </c>
      <c r="S10" s="4">
        <v>14829.9548</v>
      </c>
      <c r="T10" s="4">
        <v>13763.0437</v>
      </c>
      <c r="U10" s="4">
        <v>1786.0346</v>
      </c>
      <c r="V10" s="4">
        <v>11977.009099999999</v>
      </c>
      <c r="W10" s="4">
        <v>1066.9110000000001</v>
      </c>
    </row>
    <row r="11" spans="1:23" x14ac:dyDescent="0.2">
      <c r="A11" s="3">
        <v>38231</v>
      </c>
      <c r="B11" s="4">
        <v>95494.884900000005</v>
      </c>
      <c r="C11" s="4">
        <v>13019.6309</v>
      </c>
      <c r="D11" s="4">
        <v>6302.2015000000001</v>
      </c>
      <c r="E11" s="4">
        <v>6717.4294</v>
      </c>
      <c r="F11" s="5">
        <v>33.704500000000003</v>
      </c>
      <c r="G11" s="4">
        <v>4.17</v>
      </c>
      <c r="H11" s="4">
        <v>29.534500000000001</v>
      </c>
      <c r="I11" s="4">
        <v>40390.445800000001</v>
      </c>
      <c r="J11" s="4">
        <v>36189.688600000001</v>
      </c>
      <c r="K11" s="4">
        <v>1370.7973</v>
      </c>
      <c r="L11" s="4">
        <v>2829.96</v>
      </c>
      <c r="M11" s="4">
        <v>32251.473999999998</v>
      </c>
      <c r="N11" s="4">
        <v>9520.5827000000008</v>
      </c>
      <c r="O11" s="4">
        <v>9445.8423999999995</v>
      </c>
      <c r="P11" s="4">
        <v>74.740300000000005</v>
      </c>
      <c r="Q11" s="4">
        <v>279.04689999999999</v>
      </c>
      <c r="R11" s="4">
        <v>79874.033200000005</v>
      </c>
      <c r="S11" s="4">
        <v>15620.8516</v>
      </c>
      <c r="T11" s="4">
        <v>14487.174199999999</v>
      </c>
      <c r="U11" s="4">
        <v>1817.4979000000001</v>
      </c>
      <c r="V11" s="4">
        <v>12669.676299999999</v>
      </c>
      <c r="W11" s="4">
        <v>1133.6775</v>
      </c>
    </row>
    <row r="12" spans="1:23" x14ac:dyDescent="0.2">
      <c r="A12" s="3">
        <v>38322</v>
      </c>
      <c r="B12" s="4">
        <v>97218.279899999994</v>
      </c>
      <c r="C12" s="4">
        <v>13307.7143</v>
      </c>
      <c r="D12" s="4">
        <v>6496.3504000000003</v>
      </c>
      <c r="E12" s="4">
        <v>6811.3639000000003</v>
      </c>
      <c r="F12" s="5">
        <v>37.756399999999999</v>
      </c>
      <c r="G12" s="4">
        <v>5.8772000000000002</v>
      </c>
      <c r="H12" s="4">
        <v>31.879200000000001</v>
      </c>
      <c r="I12" s="4">
        <v>40145.408199999998</v>
      </c>
      <c r="J12" s="4">
        <v>36377.694100000001</v>
      </c>
      <c r="K12" s="4">
        <v>1347.4860000000001</v>
      </c>
      <c r="L12" s="4">
        <v>2420.2280999999998</v>
      </c>
      <c r="M12" s="4">
        <v>33692.551500000001</v>
      </c>
      <c r="N12" s="4">
        <v>9738.6962999999996</v>
      </c>
      <c r="O12" s="4">
        <v>9661.9901000000009</v>
      </c>
      <c r="P12" s="4">
        <v>76.706199999999995</v>
      </c>
      <c r="Q12" s="4">
        <v>296.1533</v>
      </c>
      <c r="R12" s="4">
        <v>80784.897800000006</v>
      </c>
      <c r="S12" s="4">
        <v>16433.382000000001</v>
      </c>
      <c r="T12" s="4">
        <v>15198.061799999999</v>
      </c>
      <c r="U12" s="4">
        <v>1878.2964999999999</v>
      </c>
      <c r="V12" s="4">
        <v>13319.765299999999</v>
      </c>
      <c r="W12" s="4">
        <v>1235.3202000000001</v>
      </c>
    </row>
    <row r="13" spans="1:23" x14ac:dyDescent="0.2">
      <c r="A13" s="3">
        <v>38412</v>
      </c>
      <c r="B13" s="4">
        <v>100054.4013</v>
      </c>
      <c r="C13" s="4">
        <v>13675.6525</v>
      </c>
      <c r="D13" s="4">
        <v>6486.1082999999999</v>
      </c>
      <c r="E13" s="4">
        <v>7189.5442000000003</v>
      </c>
      <c r="F13" s="5">
        <v>41.775700000000001</v>
      </c>
      <c r="G13" s="4">
        <v>6.7449000000000003</v>
      </c>
      <c r="H13" s="4">
        <v>35.030799999999999</v>
      </c>
      <c r="I13" s="4">
        <v>41254.7526</v>
      </c>
      <c r="J13" s="4">
        <v>37296.411599999999</v>
      </c>
      <c r="K13" s="4">
        <v>1507.4753000000001</v>
      </c>
      <c r="L13" s="4">
        <v>2450.8656999999998</v>
      </c>
      <c r="M13" s="4">
        <v>34885.097999999998</v>
      </c>
      <c r="N13" s="4">
        <v>9894.8775000000005</v>
      </c>
      <c r="O13" s="4">
        <v>9816.5661999999993</v>
      </c>
      <c r="P13" s="4">
        <v>78.311300000000003</v>
      </c>
      <c r="Q13" s="4">
        <v>302.245</v>
      </c>
      <c r="R13" s="4">
        <v>83070.815400000007</v>
      </c>
      <c r="S13" s="4">
        <v>16983.585800000001</v>
      </c>
      <c r="T13" s="4">
        <v>15676.6379</v>
      </c>
      <c r="U13" s="4">
        <v>1953.4186</v>
      </c>
      <c r="V13" s="4">
        <v>13723.219300000001</v>
      </c>
      <c r="W13" s="4">
        <v>1306.9478999999999</v>
      </c>
    </row>
    <row r="14" spans="1:23" x14ac:dyDescent="0.2">
      <c r="A14" s="3">
        <v>38504</v>
      </c>
      <c r="B14" s="4">
        <v>103164.83289999999</v>
      </c>
      <c r="C14" s="4">
        <v>13698.2847</v>
      </c>
      <c r="D14" s="4">
        <v>6454.5667000000003</v>
      </c>
      <c r="E14" s="4">
        <v>7243.7179999999998</v>
      </c>
      <c r="F14" s="5">
        <v>41.030900000000003</v>
      </c>
      <c r="G14" s="4">
        <v>4.8331999999999997</v>
      </c>
      <c r="H14" s="4">
        <v>36.197800000000001</v>
      </c>
      <c r="I14" s="4">
        <v>42395.255400000002</v>
      </c>
      <c r="J14" s="4">
        <v>38027.842100000002</v>
      </c>
      <c r="K14" s="4">
        <v>1415.8184000000001</v>
      </c>
      <c r="L14" s="4">
        <v>2951.5949000000001</v>
      </c>
      <c r="M14" s="4">
        <v>36483.202299999997</v>
      </c>
      <c r="N14" s="4">
        <v>10218.1158</v>
      </c>
      <c r="O14" s="4">
        <v>10133.475</v>
      </c>
      <c r="P14" s="4">
        <v>84.640699999999995</v>
      </c>
      <c r="Q14" s="4">
        <v>328.94369999999998</v>
      </c>
      <c r="R14" s="4">
        <v>85505.654299999995</v>
      </c>
      <c r="S14" s="4">
        <v>17659.178599999999</v>
      </c>
      <c r="T14" s="4">
        <v>16249.255800000001</v>
      </c>
      <c r="U14" s="4">
        <v>1952.0452</v>
      </c>
      <c r="V14" s="4">
        <v>14297.2106</v>
      </c>
      <c r="W14" s="4">
        <v>1409.9229</v>
      </c>
    </row>
    <row r="15" spans="1:23" x14ac:dyDescent="0.2">
      <c r="A15" s="3">
        <v>38596</v>
      </c>
      <c r="B15" s="4">
        <v>105555.0352</v>
      </c>
      <c r="C15" s="4">
        <v>12925.5908</v>
      </c>
      <c r="D15" s="4">
        <v>6274.2876999999999</v>
      </c>
      <c r="E15" s="4">
        <v>6651.3031000000001</v>
      </c>
      <c r="F15" s="5">
        <v>38.439599999999999</v>
      </c>
      <c r="G15" s="4">
        <v>3.5794000000000001</v>
      </c>
      <c r="H15" s="4">
        <v>34.860199999999999</v>
      </c>
      <c r="I15" s="4">
        <v>43515.698799999998</v>
      </c>
      <c r="J15" s="4">
        <v>38597.039900000003</v>
      </c>
      <c r="K15" s="4">
        <v>1411.5840000000001</v>
      </c>
      <c r="L15" s="4">
        <v>3507.0749000000001</v>
      </c>
      <c r="M15" s="4">
        <v>38254.429700000001</v>
      </c>
      <c r="N15" s="4">
        <v>10499.8266</v>
      </c>
      <c r="O15" s="4">
        <v>10409.0111</v>
      </c>
      <c r="P15" s="4">
        <v>90.8155</v>
      </c>
      <c r="Q15" s="4">
        <v>321.0498</v>
      </c>
      <c r="R15" s="4">
        <v>86927.679799999998</v>
      </c>
      <c r="S15" s="4">
        <v>18627.3554</v>
      </c>
      <c r="T15" s="4">
        <v>17121.843799999999</v>
      </c>
      <c r="U15" s="4">
        <v>2034.7728</v>
      </c>
      <c r="V15" s="4">
        <v>15087.071</v>
      </c>
      <c r="W15" s="4">
        <v>1505.5116</v>
      </c>
    </row>
    <row r="16" spans="1:23" x14ac:dyDescent="0.2">
      <c r="A16" s="3">
        <v>38687</v>
      </c>
      <c r="B16" s="4">
        <v>106019.34510000001</v>
      </c>
      <c r="C16" s="4">
        <v>13662.860199999999</v>
      </c>
      <c r="D16" s="4">
        <v>6722.6979000000001</v>
      </c>
      <c r="E16" s="4">
        <v>6940.1621999999998</v>
      </c>
      <c r="F16" s="5">
        <v>48.555799999999998</v>
      </c>
      <c r="G16" s="4">
        <v>13.532</v>
      </c>
      <c r="H16" s="4">
        <v>35.023800000000001</v>
      </c>
      <c r="I16" s="4">
        <v>42950.637199999997</v>
      </c>
      <c r="J16" s="4">
        <v>39070.261700000003</v>
      </c>
      <c r="K16" s="4">
        <v>1550.5320999999999</v>
      </c>
      <c r="L16" s="4">
        <v>2329.8434000000002</v>
      </c>
      <c r="M16" s="4">
        <v>38230.946300000003</v>
      </c>
      <c r="N16" s="4">
        <v>10786.563599999999</v>
      </c>
      <c r="O16" s="4">
        <v>10690.976199999999</v>
      </c>
      <c r="P16" s="4">
        <v>95.587400000000002</v>
      </c>
      <c r="Q16" s="4">
        <v>339.78179999999998</v>
      </c>
      <c r="R16" s="4">
        <v>86380.821599999996</v>
      </c>
      <c r="S16" s="4">
        <v>19638.523399999998</v>
      </c>
      <c r="T16" s="4">
        <v>18027.573899999999</v>
      </c>
      <c r="U16" s="4">
        <v>2117.2858000000001</v>
      </c>
      <c r="V16" s="4">
        <v>15910.2881</v>
      </c>
      <c r="W16" s="4">
        <v>1610.9494999999999</v>
      </c>
    </row>
    <row r="17" spans="1:23" x14ac:dyDescent="0.2">
      <c r="A17" s="3">
        <v>38777</v>
      </c>
      <c r="B17" s="4">
        <v>110264.7089</v>
      </c>
      <c r="C17" s="4">
        <v>13687.9234</v>
      </c>
      <c r="D17" s="4">
        <v>6632.509</v>
      </c>
      <c r="E17" s="4">
        <v>7055.4144999999999</v>
      </c>
      <c r="F17" s="5">
        <v>50.496099999999998</v>
      </c>
      <c r="G17" s="4">
        <v>12.021699999999999</v>
      </c>
      <c r="H17" s="4">
        <v>38.474499999999999</v>
      </c>
      <c r="I17" s="4">
        <v>44257.780500000001</v>
      </c>
      <c r="J17" s="4">
        <v>39813.243999999999</v>
      </c>
      <c r="K17" s="4">
        <v>1842.3249000000001</v>
      </c>
      <c r="L17" s="4">
        <v>2602.2116000000001</v>
      </c>
      <c r="M17" s="4">
        <v>40991.887900000002</v>
      </c>
      <c r="N17" s="4">
        <v>10927.403399999999</v>
      </c>
      <c r="O17" s="4">
        <v>10832.5057</v>
      </c>
      <c r="P17" s="4">
        <v>94.897599999999997</v>
      </c>
      <c r="Q17" s="4">
        <v>349.21749999999997</v>
      </c>
      <c r="R17" s="4">
        <v>89818.054900000003</v>
      </c>
      <c r="S17" s="4">
        <v>20446.653999999999</v>
      </c>
      <c r="T17" s="4">
        <v>18787.391100000001</v>
      </c>
      <c r="U17" s="4">
        <v>2202.4863999999998</v>
      </c>
      <c r="V17" s="4">
        <v>16584.904699999999</v>
      </c>
      <c r="W17" s="4">
        <v>1659.2628999999999</v>
      </c>
    </row>
    <row r="18" spans="1:23" x14ac:dyDescent="0.2">
      <c r="A18" s="3">
        <v>38869</v>
      </c>
      <c r="B18" s="4">
        <v>111240.068</v>
      </c>
      <c r="C18" s="4">
        <v>13931.6464</v>
      </c>
      <c r="D18" s="4">
        <v>6709.8490000000002</v>
      </c>
      <c r="E18" s="4">
        <v>7221.7974000000004</v>
      </c>
      <c r="F18" s="5">
        <v>55.983899999999998</v>
      </c>
      <c r="G18" s="4">
        <v>13.453799999999999</v>
      </c>
      <c r="H18" s="4">
        <v>42.530099999999997</v>
      </c>
      <c r="I18" s="4">
        <v>44896.337699999996</v>
      </c>
      <c r="J18" s="4">
        <v>40331.218099999998</v>
      </c>
      <c r="K18" s="4">
        <v>1956.7225000000001</v>
      </c>
      <c r="L18" s="4">
        <v>2608.3971999999999</v>
      </c>
      <c r="M18" s="4">
        <v>40765.609400000001</v>
      </c>
      <c r="N18" s="4">
        <v>11219.659600000001</v>
      </c>
      <c r="O18" s="4">
        <v>11117.8238</v>
      </c>
      <c r="P18" s="4">
        <v>101.8357</v>
      </c>
      <c r="Q18" s="4">
        <v>370.83100000000002</v>
      </c>
      <c r="R18" s="4">
        <v>89938.562699999995</v>
      </c>
      <c r="S18" s="4">
        <v>21301.505399999998</v>
      </c>
      <c r="T18" s="4">
        <v>19556.136500000001</v>
      </c>
      <c r="U18" s="4">
        <v>2257.5351999999998</v>
      </c>
      <c r="V18" s="4">
        <v>17298.601299999998</v>
      </c>
      <c r="W18" s="4">
        <v>1745.3688999999999</v>
      </c>
    </row>
    <row r="19" spans="1:23" x14ac:dyDescent="0.2">
      <c r="A19" s="3">
        <v>38961</v>
      </c>
      <c r="B19" s="4">
        <v>115652.24189999999</v>
      </c>
      <c r="C19" s="4">
        <v>14456.867</v>
      </c>
      <c r="D19" s="4">
        <v>7028.9403000000002</v>
      </c>
      <c r="E19" s="4">
        <v>7427.9268000000002</v>
      </c>
      <c r="F19" s="5">
        <v>55.4221</v>
      </c>
      <c r="G19" s="4">
        <v>13.167400000000001</v>
      </c>
      <c r="H19" s="4">
        <v>42.254600000000003</v>
      </c>
      <c r="I19" s="4">
        <v>45982.468000000001</v>
      </c>
      <c r="J19" s="4">
        <v>41054.0245</v>
      </c>
      <c r="K19" s="4">
        <v>2056.8355999999999</v>
      </c>
      <c r="L19" s="4">
        <v>2871.6079</v>
      </c>
      <c r="M19" s="4">
        <v>43286.171999999999</v>
      </c>
      <c r="N19" s="4">
        <v>11494.544</v>
      </c>
      <c r="O19" s="4">
        <v>11388.0363</v>
      </c>
      <c r="P19" s="4">
        <v>106.5078</v>
      </c>
      <c r="Q19" s="4">
        <v>376.76870000000002</v>
      </c>
      <c r="R19" s="4">
        <v>93113.740900000004</v>
      </c>
      <c r="S19" s="4">
        <v>22538.500899999999</v>
      </c>
      <c r="T19" s="4">
        <v>20684.380099999998</v>
      </c>
      <c r="U19" s="4">
        <v>2341.4983000000002</v>
      </c>
      <c r="V19" s="4">
        <v>18342.881799999999</v>
      </c>
      <c r="W19" s="4">
        <v>1854.1207999999999</v>
      </c>
    </row>
    <row r="20" spans="1:23" x14ac:dyDescent="0.2">
      <c r="A20" s="3">
        <v>39052</v>
      </c>
      <c r="B20" s="4">
        <v>121802.29580000001</v>
      </c>
      <c r="C20" s="4">
        <v>15685.323</v>
      </c>
      <c r="D20" s="4">
        <v>8104.174</v>
      </c>
      <c r="E20" s="4">
        <v>7581.1490000000003</v>
      </c>
      <c r="F20" s="5">
        <v>50.696800000000003</v>
      </c>
      <c r="G20" s="4">
        <v>8.3118999999999996</v>
      </c>
      <c r="H20" s="4">
        <v>42.384900000000002</v>
      </c>
      <c r="I20" s="4">
        <v>46840</v>
      </c>
      <c r="J20" s="4">
        <v>41619.047299999998</v>
      </c>
      <c r="K20" s="4">
        <v>2174.3615</v>
      </c>
      <c r="L20" s="4">
        <v>3046.5911999999998</v>
      </c>
      <c r="M20" s="4">
        <v>47225.960800000001</v>
      </c>
      <c r="N20" s="4">
        <v>11593.2477</v>
      </c>
      <c r="O20" s="4">
        <v>11484.8233</v>
      </c>
      <c r="P20" s="4">
        <v>108.4243</v>
      </c>
      <c r="Q20" s="4">
        <v>407.0675</v>
      </c>
      <c r="R20" s="4">
        <v>98256.3514</v>
      </c>
      <c r="S20" s="4">
        <v>23545.9444</v>
      </c>
      <c r="T20" s="4">
        <v>21530.300599999999</v>
      </c>
      <c r="U20" s="4">
        <v>2473.1017999999999</v>
      </c>
      <c r="V20" s="4">
        <v>19057.198799999998</v>
      </c>
      <c r="W20" s="4">
        <v>2015.6438000000001</v>
      </c>
    </row>
    <row r="21" spans="1:23" x14ac:dyDescent="0.2">
      <c r="A21" s="3">
        <v>39142</v>
      </c>
      <c r="B21" s="4">
        <v>124636.1511</v>
      </c>
      <c r="C21" s="4">
        <v>15170.803900000001</v>
      </c>
      <c r="D21" s="4">
        <v>7443.3131000000003</v>
      </c>
      <c r="E21" s="4">
        <v>7727.4908999999998</v>
      </c>
      <c r="F21" s="5">
        <v>60.657400000000003</v>
      </c>
      <c r="G21" s="4">
        <v>8.2264999999999997</v>
      </c>
      <c r="H21" s="4">
        <v>52.430999999999997</v>
      </c>
      <c r="I21" s="4">
        <v>47912.174299999999</v>
      </c>
      <c r="J21" s="4">
        <v>42650.781600000002</v>
      </c>
      <c r="K21" s="4">
        <v>2073.9670000000001</v>
      </c>
      <c r="L21" s="4">
        <v>3187.4256999999998</v>
      </c>
      <c r="M21" s="4">
        <v>49338.648500000003</v>
      </c>
      <c r="N21" s="4">
        <v>11739.1512</v>
      </c>
      <c r="O21" s="4">
        <v>11627.674800000001</v>
      </c>
      <c r="P21" s="4">
        <v>111.47629999999999</v>
      </c>
      <c r="Q21" s="4">
        <v>414.71570000000003</v>
      </c>
      <c r="R21" s="4">
        <v>99956.418900000004</v>
      </c>
      <c r="S21" s="4">
        <v>24679.732199999999</v>
      </c>
      <c r="T21" s="4">
        <v>22527.193200000002</v>
      </c>
      <c r="U21" s="4">
        <v>2528.9395</v>
      </c>
      <c r="V21" s="4">
        <v>19998.253700000001</v>
      </c>
      <c r="W21" s="4">
        <v>2152.5390000000002</v>
      </c>
    </row>
    <row r="22" spans="1:23" x14ac:dyDescent="0.2">
      <c r="A22" s="3">
        <v>39234</v>
      </c>
      <c r="B22" s="4">
        <v>129896.825</v>
      </c>
      <c r="C22" s="4">
        <v>14450.368899999999</v>
      </c>
      <c r="D22" s="4">
        <v>6655.2066999999997</v>
      </c>
      <c r="E22" s="4">
        <v>7795.1621999999998</v>
      </c>
      <c r="F22" s="5">
        <v>69.186199999999999</v>
      </c>
      <c r="G22" s="4">
        <v>8.4718999999999998</v>
      </c>
      <c r="H22" s="4">
        <v>60.714300000000001</v>
      </c>
      <c r="I22" s="4">
        <v>49748.872300000003</v>
      </c>
      <c r="J22" s="4">
        <v>43921.282099999997</v>
      </c>
      <c r="K22" s="4">
        <v>2267.3998000000001</v>
      </c>
      <c r="L22" s="4">
        <v>3560.1903000000002</v>
      </c>
      <c r="M22" s="4">
        <v>53107.0605</v>
      </c>
      <c r="N22" s="4">
        <v>12102.568300000001</v>
      </c>
      <c r="O22" s="4">
        <v>11980.045899999999</v>
      </c>
      <c r="P22" s="4">
        <v>122.52249999999999</v>
      </c>
      <c r="Q22" s="4">
        <v>418.7688</v>
      </c>
      <c r="R22" s="4">
        <v>103841.87480000001</v>
      </c>
      <c r="S22" s="4">
        <v>26054.950199999999</v>
      </c>
      <c r="T22" s="4">
        <v>23526.390299999999</v>
      </c>
      <c r="U22" s="4">
        <v>2567.2467000000001</v>
      </c>
      <c r="V22" s="4">
        <v>20959.143599999999</v>
      </c>
      <c r="W22" s="4">
        <v>2528.5599000000002</v>
      </c>
    </row>
    <row r="23" spans="1:23" x14ac:dyDescent="0.2">
      <c r="A23" s="3">
        <v>39326</v>
      </c>
      <c r="B23" s="4">
        <v>133027.3573</v>
      </c>
      <c r="C23" s="4">
        <v>14587.786</v>
      </c>
      <c r="D23" s="4">
        <v>6802.8761000000004</v>
      </c>
      <c r="E23" s="4">
        <v>7784.9098999999997</v>
      </c>
      <c r="F23" s="5">
        <v>74.970200000000006</v>
      </c>
      <c r="G23" s="4">
        <v>8.1349999999999998</v>
      </c>
      <c r="H23" s="4">
        <v>66.8352</v>
      </c>
      <c r="I23" s="4">
        <v>50443.713900000002</v>
      </c>
      <c r="J23" s="4">
        <v>44274.792099999999</v>
      </c>
      <c r="K23" s="4">
        <v>2362.3229999999999</v>
      </c>
      <c r="L23" s="4">
        <v>3806.5988000000002</v>
      </c>
      <c r="M23" s="4">
        <v>54808.319799999997</v>
      </c>
      <c r="N23" s="4">
        <v>12676.1237</v>
      </c>
      <c r="O23" s="4">
        <v>12544.770500000001</v>
      </c>
      <c r="P23" s="4">
        <v>131.35319999999999</v>
      </c>
      <c r="Q23" s="4">
        <v>436.44369999999998</v>
      </c>
      <c r="R23" s="4">
        <v>105587.802</v>
      </c>
      <c r="S23" s="4">
        <v>27439.555400000001</v>
      </c>
      <c r="T23" s="4">
        <v>24821.583600000002</v>
      </c>
      <c r="U23" s="4">
        <v>2668.6948000000002</v>
      </c>
      <c r="V23" s="4">
        <v>22152.888800000001</v>
      </c>
      <c r="W23" s="4">
        <v>2617.9717999999998</v>
      </c>
    </row>
    <row r="24" spans="1:23" x14ac:dyDescent="0.2">
      <c r="A24" s="3">
        <v>39417</v>
      </c>
      <c r="B24" s="4">
        <v>135554.20619999999</v>
      </c>
      <c r="C24" s="4">
        <v>15295.782499999999</v>
      </c>
      <c r="D24" s="4">
        <v>7338.9794000000002</v>
      </c>
      <c r="E24" s="4">
        <v>7956.8031000000001</v>
      </c>
      <c r="F24" s="5">
        <v>79.726299999999995</v>
      </c>
      <c r="G24" s="4">
        <v>7.2816000000000001</v>
      </c>
      <c r="H24" s="4">
        <v>72.444699999999997</v>
      </c>
      <c r="I24" s="4">
        <v>51148.257899999997</v>
      </c>
      <c r="J24" s="4">
        <v>45046.590199999999</v>
      </c>
      <c r="K24" s="4">
        <v>2339.1671000000001</v>
      </c>
      <c r="L24" s="4">
        <v>3762.5005999999998</v>
      </c>
      <c r="M24" s="4">
        <v>55436.6806</v>
      </c>
      <c r="N24" s="4">
        <v>13151.7302</v>
      </c>
      <c r="O24" s="4">
        <v>13016.183199999999</v>
      </c>
      <c r="P24" s="4">
        <v>135.547</v>
      </c>
      <c r="Q24" s="4">
        <v>442.02870000000001</v>
      </c>
      <c r="R24" s="4">
        <v>106430.35619999999</v>
      </c>
      <c r="S24" s="4">
        <v>29123.85</v>
      </c>
      <c r="T24" s="4">
        <v>26170.711599999999</v>
      </c>
      <c r="U24" s="4">
        <v>2821.5832</v>
      </c>
      <c r="V24" s="4">
        <v>23349.128499999999</v>
      </c>
      <c r="W24" s="4">
        <v>2953.1383999999998</v>
      </c>
    </row>
    <row r="25" spans="1:23" x14ac:dyDescent="0.2">
      <c r="A25" s="3">
        <v>39508</v>
      </c>
      <c r="B25" s="4">
        <v>132376.34239999999</v>
      </c>
      <c r="C25" s="4">
        <v>13808.7994</v>
      </c>
      <c r="D25" s="4">
        <v>5508.1812</v>
      </c>
      <c r="E25" s="4">
        <v>8300.6182000000008</v>
      </c>
      <c r="F25" s="5">
        <v>97.2423</v>
      </c>
      <c r="G25" s="4">
        <v>7.3581000000000003</v>
      </c>
      <c r="H25" s="4">
        <v>89.884200000000007</v>
      </c>
      <c r="I25" s="4">
        <v>50909.9012</v>
      </c>
      <c r="J25" s="4">
        <v>44411.737999999998</v>
      </c>
      <c r="K25" s="4">
        <v>2797.2936</v>
      </c>
      <c r="L25" s="4">
        <v>3700.8696</v>
      </c>
      <c r="M25" s="4">
        <v>53473.611100000002</v>
      </c>
      <c r="N25" s="4">
        <v>13507.466899999999</v>
      </c>
      <c r="O25" s="4">
        <v>13368.725899999999</v>
      </c>
      <c r="P25" s="4">
        <v>138.74100000000001</v>
      </c>
      <c r="Q25" s="4">
        <v>579.32150000000001</v>
      </c>
      <c r="R25" s="4">
        <v>102314.5543</v>
      </c>
      <c r="S25" s="4">
        <v>30061.788100000002</v>
      </c>
      <c r="T25" s="4">
        <v>27227.6332</v>
      </c>
      <c r="U25" s="4">
        <v>2459.4688000000001</v>
      </c>
      <c r="V25" s="4">
        <v>24768.164400000001</v>
      </c>
      <c r="W25" s="4">
        <v>2834.1549</v>
      </c>
    </row>
    <row r="26" spans="1:23" x14ac:dyDescent="0.2">
      <c r="A26" s="3">
        <v>39600</v>
      </c>
      <c r="B26" s="4">
        <v>138882.86749999999</v>
      </c>
      <c r="C26" s="4">
        <v>14906.8557</v>
      </c>
      <c r="D26" s="4">
        <v>6002.2615999999998</v>
      </c>
      <c r="E26" s="4">
        <v>8904.5941000000003</v>
      </c>
      <c r="F26" s="5">
        <v>97.112700000000004</v>
      </c>
      <c r="G26" s="4">
        <v>1.4363999999999999</v>
      </c>
      <c r="H26" s="4">
        <v>95.676199999999994</v>
      </c>
      <c r="I26" s="4">
        <v>53057.076999999997</v>
      </c>
      <c r="J26" s="4">
        <v>45911.089200000002</v>
      </c>
      <c r="K26" s="4">
        <v>3352.0192000000002</v>
      </c>
      <c r="L26" s="4">
        <v>3793.9686000000002</v>
      </c>
      <c r="M26" s="4">
        <v>56063.225200000001</v>
      </c>
      <c r="N26" s="4">
        <v>14095.0527</v>
      </c>
      <c r="O26" s="4">
        <v>13947.542100000001</v>
      </c>
      <c r="P26" s="4">
        <v>147.51060000000001</v>
      </c>
      <c r="Q26" s="4">
        <v>663.54420000000005</v>
      </c>
      <c r="R26" s="4">
        <v>107428.6502</v>
      </c>
      <c r="S26" s="4">
        <v>31454.2173</v>
      </c>
      <c r="T26" s="4">
        <v>28508.459299999999</v>
      </c>
      <c r="U26" s="4">
        <v>2466.0119</v>
      </c>
      <c r="V26" s="4">
        <v>26042.447400000001</v>
      </c>
      <c r="W26" s="4">
        <v>2945.7579999999998</v>
      </c>
    </row>
    <row r="27" spans="1:23" x14ac:dyDescent="0.2">
      <c r="A27" s="3">
        <v>39692</v>
      </c>
      <c r="B27" s="4">
        <v>135382.56950000001</v>
      </c>
      <c r="C27" s="4">
        <v>15653.5705</v>
      </c>
      <c r="D27" s="4">
        <v>6048.0255999999999</v>
      </c>
      <c r="E27" s="4">
        <v>9605.5449000000008</v>
      </c>
      <c r="F27" s="5">
        <v>123.28270000000001</v>
      </c>
      <c r="G27" s="4">
        <v>25.2182</v>
      </c>
      <c r="H27" s="4">
        <v>98.064599999999999</v>
      </c>
      <c r="I27" s="4">
        <v>52712.577899999997</v>
      </c>
      <c r="J27" s="4">
        <v>46434.475700000003</v>
      </c>
      <c r="K27" s="4">
        <v>2919.6188000000002</v>
      </c>
      <c r="L27" s="4">
        <v>3358.4832999999999</v>
      </c>
      <c r="M27" s="4">
        <v>51439.825700000001</v>
      </c>
      <c r="N27" s="4">
        <v>14795.8698</v>
      </c>
      <c r="O27" s="4">
        <v>14638.236800000001</v>
      </c>
      <c r="P27" s="4">
        <v>157.63300000000001</v>
      </c>
      <c r="Q27" s="4">
        <v>657.44280000000003</v>
      </c>
      <c r="R27" s="4">
        <v>102529.5741</v>
      </c>
      <c r="S27" s="4">
        <v>32852.9954</v>
      </c>
      <c r="T27" s="4">
        <v>29824.9238</v>
      </c>
      <c r="U27" s="4">
        <v>2555.4387000000002</v>
      </c>
      <c r="V27" s="4">
        <v>27269.485100000002</v>
      </c>
      <c r="W27" s="4">
        <v>3028.0717</v>
      </c>
    </row>
    <row r="28" spans="1:23" x14ac:dyDescent="0.2">
      <c r="A28" s="3">
        <v>39783</v>
      </c>
      <c r="B28" s="4">
        <v>133279.35219999999</v>
      </c>
      <c r="C28" s="4">
        <v>17145.962599999999</v>
      </c>
      <c r="D28" s="4">
        <v>6957.3491000000004</v>
      </c>
      <c r="E28" s="4">
        <v>10188.613499999999</v>
      </c>
      <c r="F28" s="5">
        <v>167.68709999999999</v>
      </c>
      <c r="G28" s="4">
        <v>60.883600000000001</v>
      </c>
      <c r="H28" s="4">
        <v>106.8035</v>
      </c>
      <c r="I28" s="4">
        <v>52602.086199999998</v>
      </c>
      <c r="J28" s="4">
        <v>46937.376100000001</v>
      </c>
      <c r="K28" s="4">
        <v>3097.7275</v>
      </c>
      <c r="L28" s="4">
        <v>2566.9825999999998</v>
      </c>
      <c r="M28" s="4">
        <v>47429.397599999997</v>
      </c>
      <c r="N28" s="4">
        <v>15260.8649</v>
      </c>
      <c r="O28" s="4">
        <v>15101.0057</v>
      </c>
      <c r="P28" s="4">
        <v>159.85919999999999</v>
      </c>
      <c r="Q28" s="4">
        <v>673.35379999999998</v>
      </c>
      <c r="R28" s="4">
        <v>99431.779800000004</v>
      </c>
      <c r="S28" s="4">
        <v>33847.572399999997</v>
      </c>
      <c r="T28" s="4">
        <v>30630.612300000001</v>
      </c>
      <c r="U28" s="4">
        <v>2635.2071000000001</v>
      </c>
      <c r="V28" s="4">
        <v>27995.4051</v>
      </c>
      <c r="W28" s="4">
        <v>3216.9600999999998</v>
      </c>
    </row>
    <row r="29" spans="1:23" x14ac:dyDescent="0.2">
      <c r="A29" s="3">
        <v>39873</v>
      </c>
      <c r="B29" s="4">
        <v>134699.41269999999</v>
      </c>
      <c r="C29" s="4">
        <v>16527.268199999999</v>
      </c>
      <c r="D29" s="4">
        <v>6869.3221000000003</v>
      </c>
      <c r="E29" s="4">
        <v>9657.9460999999992</v>
      </c>
      <c r="F29" s="5">
        <v>161.00319999999999</v>
      </c>
      <c r="G29" s="4">
        <v>61.9009</v>
      </c>
      <c r="H29" s="4">
        <v>99.102199999999996</v>
      </c>
      <c r="I29" s="4">
        <v>53601.711199999998</v>
      </c>
      <c r="J29" s="4">
        <v>46917.502800000002</v>
      </c>
      <c r="K29" s="4">
        <v>3627.9241000000002</v>
      </c>
      <c r="L29" s="4">
        <v>3056.2842999999998</v>
      </c>
      <c r="M29" s="4">
        <v>48652.5556</v>
      </c>
      <c r="N29" s="4">
        <v>15038.2876</v>
      </c>
      <c r="O29" s="4">
        <v>14883.5285</v>
      </c>
      <c r="P29" s="4">
        <v>154.75909999999999</v>
      </c>
      <c r="Q29" s="4">
        <v>718.58690000000001</v>
      </c>
      <c r="R29" s="4">
        <v>101017.1738</v>
      </c>
      <c r="S29" s="4">
        <v>33682.238899999997</v>
      </c>
      <c r="T29" s="4">
        <v>30664.217700000001</v>
      </c>
      <c r="U29" s="4">
        <v>2589.2352999999998</v>
      </c>
      <c r="V29" s="4">
        <v>28074.982400000001</v>
      </c>
      <c r="W29" s="4">
        <v>3018.0212000000001</v>
      </c>
    </row>
    <row r="30" spans="1:23" x14ac:dyDescent="0.2">
      <c r="A30" s="3">
        <v>39965</v>
      </c>
      <c r="B30" s="4">
        <v>139518.32440000001</v>
      </c>
      <c r="C30" s="4">
        <v>15449.609700000001</v>
      </c>
      <c r="D30" s="4">
        <v>6336.8194999999996</v>
      </c>
      <c r="E30" s="4">
        <v>9112.7901000000002</v>
      </c>
      <c r="F30" s="5">
        <v>148.10120000000001</v>
      </c>
      <c r="G30" s="4">
        <v>57.141800000000003</v>
      </c>
      <c r="H30" s="4">
        <v>90.959500000000006</v>
      </c>
      <c r="I30" s="4">
        <v>54176.784200000002</v>
      </c>
      <c r="J30" s="4">
        <v>46925.039700000001</v>
      </c>
      <c r="K30" s="4">
        <v>4042.1257999999998</v>
      </c>
      <c r="L30" s="4">
        <v>3209.6187</v>
      </c>
      <c r="M30" s="4">
        <v>53842.688099999999</v>
      </c>
      <c r="N30" s="4">
        <v>15176.4725</v>
      </c>
      <c r="O30" s="4">
        <v>15016.732900000001</v>
      </c>
      <c r="P30" s="4">
        <v>159.7396</v>
      </c>
      <c r="Q30" s="4">
        <v>724.66880000000003</v>
      </c>
      <c r="R30" s="4">
        <v>105578.77619999999</v>
      </c>
      <c r="S30" s="4">
        <v>33939.548199999997</v>
      </c>
      <c r="T30" s="4">
        <v>31000.3609</v>
      </c>
      <c r="U30" s="4">
        <v>2434.7330000000002</v>
      </c>
      <c r="V30" s="4">
        <v>28565.627899999999</v>
      </c>
      <c r="W30" s="4">
        <v>2939.1873999999998</v>
      </c>
    </row>
    <row r="31" spans="1:23" x14ac:dyDescent="0.2">
      <c r="A31" s="3">
        <v>40057</v>
      </c>
      <c r="B31" s="4">
        <v>146066.6623</v>
      </c>
      <c r="C31" s="4">
        <v>14950.2076</v>
      </c>
      <c r="D31" s="4">
        <v>6684.9993000000004</v>
      </c>
      <c r="E31" s="4">
        <v>8265.2083000000002</v>
      </c>
      <c r="F31" s="5">
        <v>115.2097</v>
      </c>
      <c r="G31" s="4">
        <v>22.3795</v>
      </c>
      <c r="H31" s="4">
        <v>92.830200000000005</v>
      </c>
      <c r="I31" s="4">
        <v>55933.775099999999</v>
      </c>
      <c r="J31" s="4">
        <v>47772.316400000003</v>
      </c>
      <c r="K31" s="4">
        <v>4136.5922</v>
      </c>
      <c r="L31" s="4">
        <v>4024.8665000000001</v>
      </c>
      <c r="M31" s="4">
        <v>58964.27</v>
      </c>
      <c r="N31" s="4">
        <v>15332.408299999999</v>
      </c>
      <c r="O31" s="4">
        <v>15162.7047</v>
      </c>
      <c r="P31" s="4">
        <v>169.70359999999999</v>
      </c>
      <c r="Q31" s="4">
        <v>770.79169999999999</v>
      </c>
      <c r="R31" s="4">
        <v>111676.68120000001</v>
      </c>
      <c r="S31" s="4">
        <v>34389.981099999997</v>
      </c>
      <c r="T31" s="4">
        <v>31592.848699999999</v>
      </c>
      <c r="U31" s="4">
        <v>2433.4495999999999</v>
      </c>
      <c r="V31" s="4">
        <v>29159.399099999999</v>
      </c>
      <c r="W31" s="4">
        <v>2797.1324</v>
      </c>
    </row>
    <row r="32" spans="1:23" x14ac:dyDescent="0.2">
      <c r="A32" s="3">
        <v>40148</v>
      </c>
      <c r="B32" s="4">
        <v>148133.40530000001</v>
      </c>
      <c r="C32" s="4">
        <v>15578.011200000001</v>
      </c>
      <c r="D32" s="4">
        <v>7503.0775999999996</v>
      </c>
      <c r="E32" s="4">
        <v>8074.9336000000003</v>
      </c>
      <c r="F32" s="5">
        <v>91.833200000000005</v>
      </c>
      <c r="G32" s="4">
        <v>1.7264999999999999</v>
      </c>
      <c r="H32" s="4">
        <v>90.1066</v>
      </c>
      <c r="I32" s="4">
        <v>55400.072800000002</v>
      </c>
      <c r="J32" s="4">
        <v>47346.113700000002</v>
      </c>
      <c r="K32" s="4">
        <v>4065.2044999999998</v>
      </c>
      <c r="L32" s="4">
        <v>3988.7547</v>
      </c>
      <c r="M32" s="4">
        <v>60643.7333</v>
      </c>
      <c r="N32" s="4">
        <v>15623.7003</v>
      </c>
      <c r="O32" s="4">
        <v>15465.9184</v>
      </c>
      <c r="P32" s="4">
        <v>157.78190000000001</v>
      </c>
      <c r="Q32" s="4">
        <v>796.05439999999999</v>
      </c>
      <c r="R32" s="4">
        <v>112648.7972</v>
      </c>
      <c r="S32" s="4">
        <v>35484.608099999998</v>
      </c>
      <c r="T32" s="4">
        <v>32596.691999999999</v>
      </c>
      <c r="U32" s="4">
        <v>2618.2878000000001</v>
      </c>
      <c r="V32" s="4">
        <v>29978.404200000001</v>
      </c>
      <c r="W32" s="4">
        <v>2887.9160999999999</v>
      </c>
    </row>
    <row r="33" spans="1:23" x14ac:dyDescent="0.2">
      <c r="A33" s="3">
        <v>40238</v>
      </c>
      <c r="B33" s="4">
        <v>156578.30859999999</v>
      </c>
      <c r="C33" s="4">
        <v>15752.703600000001</v>
      </c>
      <c r="D33" s="4">
        <v>7860.1836999999996</v>
      </c>
      <c r="E33" s="4">
        <v>7892.5199000000002</v>
      </c>
      <c r="F33" s="5">
        <v>100.6897</v>
      </c>
      <c r="G33" s="4">
        <v>0.78310000000000002</v>
      </c>
      <c r="H33" s="4">
        <v>99.906599999999997</v>
      </c>
      <c r="I33" s="4">
        <v>58292.896500000003</v>
      </c>
      <c r="J33" s="4">
        <v>48835.419600000001</v>
      </c>
      <c r="K33" s="4">
        <v>5048.5145000000002</v>
      </c>
      <c r="L33" s="4">
        <v>4408.9624000000003</v>
      </c>
      <c r="M33" s="4">
        <v>63650.703000000001</v>
      </c>
      <c r="N33" s="4">
        <v>15893.9606</v>
      </c>
      <c r="O33" s="4">
        <v>15718.3087</v>
      </c>
      <c r="P33" s="4">
        <v>175.65180000000001</v>
      </c>
      <c r="Q33" s="4">
        <v>2887.3553000000002</v>
      </c>
      <c r="R33" s="4">
        <v>120729.1042</v>
      </c>
      <c r="S33" s="4">
        <v>35849.2045</v>
      </c>
      <c r="T33" s="4">
        <v>33061.194900000002</v>
      </c>
      <c r="U33" s="4">
        <v>2698.0734000000002</v>
      </c>
      <c r="V33" s="4">
        <v>30363.121599999999</v>
      </c>
      <c r="W33" s="4">
        <v>2788.0095000000001</v>
      </c>
    </row>
    <row r="34" spans="1:23" x14ac:dyDescent="0.2">
      <c r="A34" s="3">
        <v>40330</v>
      </c>
      <c r="B34" s="4">
        <v>158124.58809999999</v>
      </c>
      <c r="C34" s="4">
        <v>15431.849200000001</v>
      </c>
      <c r="D34" s="4">
        <v>7431.3445000000002</v>
      </c>
      <c r="E34" s="4">
        <v>8000.5047999999997</v>
      </c>
      <c r="F34" s="5">
        <v>112.0232</v>
      </c>
      <c r="G34" s="4">
        <v>7.6018999999999997</v>
      </c>
      <c r="H34" s="4">
        <v>104.4213</v>
      </c>
      <c r="I34" s="4">
        <v>59491.497900000002</v>
      </c>
      <c r="J34" s="4">
        <v>50142.773399999998</v>
      </c>
      <c r="K34" s="4">
        <v>4676.6360999999997</v>
      </c>
      <c r="L34" s="4">
        <v>4672.0883999999996</v>
      </c>
      <c r="M34" s="4">
        <v>63980.0527</v>
      </c>
      <c r="N34" s="4">
        <v>16351.9213</v>
      </c>
      <c r="O34" s="4">
        <v>16090.7718</v>
      </c>
      <c r="P34" s="4">
        <v>261.14949999999999</v>
      </c>
      <c r="Q34" s="4">
        <v>2757.2437</v>
      </c>
      <c r="R34" s="4">
        <v>121313.5386</v>
      </c>
      <c r="S34" s="4">
        <v>36811.049400000004</v>
      </c>
      <c r="T34" s="4">
        <v>33976.9997</v>
      </c>
      <c r="U34" s="4">
        <v>2735.2761</v>
      </c>
      <c r="V34" s="4">
        <v>31241.723600000001</v>
      </c>
      <c r="W34" s="4">
        <v>2834.0497</v>
      </c>
    </row>
    <row r="35" spans="1:23" x14ac:dyDescent="0.2">
      <c r="A35" s="3">
        <v>40422</v>
      </c>
      <c r="B35" s="4">
        <v>163460.56229999999</v>
      </c>
      <c r="C35" s="4">
        <v>16141.9082</v>
      </c>
      <c r="D35" s="4">
        <v>7787.2692999999999</v>
      </c>
      <c r="E35" s="4">
        <v>8354.6388999999999</v>
      </c>
      <c r="F35" s="5">
        <v>102.1875</v>
      </c>
      <c r="G35" s="4">
        <v>7.0156000000000001</v>
      </c>
      <c r="H35" s="4">
        <v>95.171899999999994</v>
      </c>
      <c r="I35" s="4">
        <v>60154.548000000003</v>
      </c>
      <c r="J35" s="4">
        <v>51473.051399999997</v>
      </c>
      <c r="K35" s="4">
        <v>3681.2107999999998</v>
      </c>
      <c r="L35" s="4">
        <v>5000.2858999999999</v>
      </c>
      <c r="M35" s="4">
        <v>68209.980599999995</v>
      </c>
      <c r="N35" s="4">
        <v>16699.944800000001</v>
      </c>
      <c r="O35" s="4">
        <v>16427.174599999998</v>
      </c>
      <c r="P35" s="4">
        <v>272.77010000000001</v>
      </c>
      <c r="Q35" s="4">
        <v>2151.9931000000001</v>
      </c>
      <c r="R35" s="4">
        <v>125645.0839</v>
      </c>
      <c r="S35" s="4">
        <v>37815.4784</v>
      </c>
      <c r="T35" s="4">
        <v>34949.630700000002</v>
      </c>
      <c r="U35" s="4">
        <v>2876.0774999999999</v>
      </c>
      <c r="V35" s="4">
        <v>32073.553199999998</v>
      </c>
      <c r="W35" s="4">
        <v>2865.8476999999998</v>
      </c>
    </row>
    <row r="36" spans="1:23" x14ac:dyDescent="0.2">
      <c r="A36" s="3">
        <v>40513</v>
      </c>
      <c r="B36" s="4">
        <v>167704.98449999999</v>
      </c>
      <c r="C36" s="4">
        <v>17112.546999999999</v>
      </c>
      <c r="D36" s="4">
        <v>8641.0491000000002</v>
      </c>
      <c r="E36" s="4">
        <v>8471.4979000000003</v>
      </c>
      <c r="F36" s="5">
        <v>100.9012</v>
      </c>
      <c r="G36" s="4">
        <v>4.9372999999999996</v>
      </c>
      <c r="H36" s="4">
        <v>95.963899999999995</v>
      </c>
      <c r="I36" s="4">
        <v>61038.904300000002</v>
      </c>
      <c r="J36" s="4">
        <v>52180.277900000001</v>
      </c>
      <c r="K36" s="4">
        <v>3905.6390999999999</v>
      </c>
      <c r="L36" s="4">
        <v>4952.9874</v>
      </c>
      <c r="M36" s="4">
        <v>70721.980800000005</v>
      </c>
      <c r="N36" s="4">
        <v>16968.8328</v>
      </c>
      <c r="O36" s="4">
        <v>16717.5023</v>
      </c>
      <c r="P36" s="4">
        <v>251.3304</v>
      </c>
      <c r="Q36" s="4">
        <v>1761.8184000000001</v>
      </c>
      <c r="R36" s="4">
        <v>128481.56759999999</v>
      </c>
      <c r="S36" s="4">
        <v>39223.416899999997</v>
      </c>
      <c r="T36" s="4">
        <v>36094.836799999997</v>
      </c>
      <c r="U36" s="4">
        <v>3125.7999</v>
      </c>
      <c r="V36" s="4">
        <v>32969.036899999999</v>
      </c>
      <c r="W36" s="4">
        <v>3128.5801000000001</v>
      </c>
    </row>
    <row r="37" spans="1:23" x14ac:dyDescent="0.2">
      <c r="A37" s="3">
        <v>40603</v>
      </c>
      <c r="B37" s="4">
        <v>172598.66769999999</v>
      </c>
      <c r="C37" s="4">
        <v>19054.6531</v>
      </c>
      <c r="D37" s="4">
        <v>9966.8683999999994</v>
      </c>
      <c r="E37" s="4">
        <v>9087.7847000000002</v>
      </c>
      <c r="F37" s="5">
        <v>115.81270000000001</v>
      </c>
      <c r="G37" s="4">
        <v>5.7141999999999999</v>
      </c>
      <c r="H37" s="4">
        <v>110.0984</v>
      </c>
      <c r="I37" s="4">
        <v>61971.777300000002</v>
      </c>
      <c r="J37" s="4">
        <v>52975.620300000002</v>
      </c>
      <c r="K37" s="4">
        <v>4228.0463</v>
      </c>
      <c r="L37" s="4">
        <v>4768.1108000000004</v>
      </c>
      <c r="M37" s="4">
        <v>72688.484599999996</v>
      </c>
      <c r="N37" s="4">
        <v>17249.056700000001</v>
      </c>
      <c r="O37" s="4">
        <v>17012.4938</v>
      </c>
      <c r="P37" s="4">
        <v>236.56290000000001</v>
      </c>
      <c r="Q37" s="4">
        <v>1518.8832</v>
      </c>
      <c r="R37" s="4">
        <v>132367.56700000001</v>
      </c>
      <c r="S37" s="4">
        <v>40231.100700000003</v>
      </c>
      <c r="T37" s="4">
        <v>37106.065999999999</v>
      </c>
      <c r="U37" s="4">
        <v>3295.1332000000002</v>
      </c>
      <c r="V37" s="4">
        <v>33810.932699999998</v>
      </c>
      <c r="W37" s="4">
        <v>3125.0347000000002</v>
      </c>
    </row>
    <row r="38" spans="1:23" x14ac:dyDescent="0.2">
      <c r="A38" s="3">
        <v>40695</v>
      </c>
      <c r="B38" s="4">
        <v>174342.02359999999</v>
      </c>
      <c r="C38" s="4">
        <v>18884.622299999999</v>
      </c>
      <c r="D38" s="4">
        <v>8974.2723000000005</v>
      </c>
      <c r="E38" s="4">
        <v>9910.35</v>
      </c>
      <c r="F38" s="5">
        <v>120.55589999999999</v>
      </c>
      <c r="G38" s="4">
        <v>14.6105</v>
      </c>
      <c r="H38" s="4">
        <v>105.9453</v>
      </c>
      <c r="I38" s="4">
        <v>62654.072</v>
      </c>
      <c r="J38" s="4">
        <v>53791.280899999998</v>
      </c>
      <c r="K38" s="4">
        <v>4140.1670999999997</v>
      </c>
      <c r="L38" s="4">
        <v>4722.6239999999998</v>
      </c>
      <c r="M38" s="4">
        <v>73534.177800000005</v>
      </c>
      <c r="N38" s="4">
        <v>17784.724399999999</v>
      </c>
      <c r="O38" s="4">
        <v>17547.661700000001</v>
      </c>
      <c r="P38" s="4">
        <v>237.06270000000001</v>
      </c>
      <c r="Q38" s="4">
        <v>1363.8713</v>
      </c>
      <c r="R38" s="4">
        <v>132787.70329999999</v>
      </c>
      <c r="S38" s="4">
        <v>41554.320299999999</v>
      </c>
      <c r="T38" s="4">
        <v>38425.6083</v>
      </c>
      <c r="U38" s="4">
        <v>3331.1864</v>
      </c>
      <c r="V38" s="4">
        <v>35094.421900000001</v>
      </c>
      <c r="W38" s="4">
        <v>3128.712</v>
      </c>
    </row>
    <row r="39" spans="1:23" x14ac:dyDescent="0.2">
      <c r="A39" s="3">
        <v>40787</v>
      </c>
      <c r="B39" s="4">
        <v>172931.22150000001</v>
      </c>
      <c r="C39" s="4">
        <v>20423.642500000002</v>
      </c>
      <c r="D39" s="4">
        <v>9291.8652000000002</v>
      </c>
      <c r="E39" s="4">
        <v>11131.7773</v>
      </c>
      <c r="F39" s="5">
        <v>127.2206</v>
      </c>
      <c r="G39" s="4">
        <v>10.1904</v>
      </c>
      <c r="H39" s="4">
        <v>117.0301</v>
      </c>
      <c r="I39" s="4">
        <v>62897.725700000003</v>
      </c>
      <c r="J39" s="4">
        <v>54293.701000000001</v>
      </c>
      <c r="K39" s="4">
        <v>4432.0492999999997</v>
      </c>
      <c r="L39" s="4">
        <v>4171.9753000000001</v>
      </c>
      <c r="M39" s="4">
        <v>69979.565400000007</v>
      </c>
      <c r="N39" s="4">
        <v>18084.217199999999</v>
      </c>
      <c r="O39" s="4">
        <v>17847.7984</v>
      </c>
      <c r="P39" s="4">
        <v>236.4188</v>
      </c>
      <c r="Q39" s="4">
        <v>1418.8503000000001</v>
      </c>
      <c r="R39" s="4">
        <v>130406.6427</v>
      </c>
      <c r="S39" s="4">
        <v>42524.5789</v>
      </c>
      <c r="T39" s="4">
        <v>39483.095099999999</v>
      </c>
      <c r="U39" s="4">
        <v>3451.3431</v>
      </c>
      <c r="V39" s="4">
        <v>36031.752</v>
      </c>
      <c r="W39" s="4">
        <v>3041.4838</v>
      </c>
    </row>
    <row r="40" spans="1:23" x14ac:dyDescent="0.2">
      <c r="A40" s="3">
        <v>40878</v>
      </c>
      <c r="B40" s="4">
        <v>177539.5177</v>
      </c>
      <c r="C40" s="4">
        <v>20731.506300000001</v>
      </c>
      <c r="D40" s="4">
        <v>9469.3060000000005</v>
      </c>
      <c r="E40" s="4">
        <v>11262.200199999999</v>
      </c>
      <c r="F40" s="5">
        <v>198.74</v>
      </c>
      <c r="G40" s="4">
        <v>22.215299999999999</v>
      </c>
      <c r="H40" s="4">
        <v>176.5248</v>
      </c>
      <c r="I40" s="4">
        <v>64397.535000000003</v>
      </c>
      <c r="J40" s="4">
        <v>55793.1417</v>
      </c>
      <c r="K40" s="4">
        <v>4617.0604999999996</v>
      </c>
      <c r="L40" s="4">
        <v>3987.3328000000001</v>
      </c>
      <c r="M40" s="4">
        <v>72141.562600000005</v>
      </c>
      <c r="N40" s="4">
        <v>18612.224300000002</v>
      </c>
      <c r="O40" s="4">
        <v>18359.943899999998</v>
      </c>
      <c r="P40" s="4">
        <v>252.28039999999999</v>
      </c>
      <c r="Q40" s="4">
        <v>1457.9494</v>
      </c>
      <c r="R40" s="4">
        <v>133257.5238</v>
      </c>
      <c r="S40" s="4">
        <v>44281.993900000001</v>
      </c>
      <c r="T40" s="4">
        <v>41076.947699999997</v>
      </c>
      <c r="U40" s="4">
        <v>3646.4549000000002</v>
      </c>
      <c r="V40" s="4">
        <v>37430.4928</v>
      </c>
      <c r="W40" s="4">
        <v>3205.0462000000002</v>
      </c>
    </row>
    <row r="41" spans="1:23" x14ac:dyDescent="0.2">
      <c r="A41" s="3">
        <v>40969</v>
      </c>
      <c r="B41" s="4">
        <v>183572.8579</v>
      </c>
      <c r="C41" s="4">
        <v>20928.589499999998</v>
      </c>
      <c r="D41" s="4">
        <v>9326.2149000000009</v>
      </c>
      <c r="E41" s="4">
        <v>11602.374599999999</v>
      </c>
      <c r="F41" s="5">
        <v>185.41589999999999</v>
      </c>
      <c r="G41" s="4">
        <v>21.4801</v>
      </c>
      <c r="H41" s="4">
        <v>163.9358</v>
      </c>
      <c r="I41" s="4">
        <v>65823.219200000007</v>
      </c>
      <c r="J41" s="4">
        <v>57159.874799999998</v>
      </c>
      <c r="K41" s="4">
        <v>4357.7457000000004</v>
      </c>
      <c r="L41" s="4">
        <v>4305.5987999999998</v>
      </c>
      <c r="M41" s="4">
        <v>76173.280799999993</v>
      </c>
      <c r="N41" s="4">
        <v>19280.5573</v>
      </c>
      <c r="O41" s="4">
        <v>19025.517899999999</v>
      </c>
      <c r="P41" s="4">
        <v>255.0394</v>
      </c>
      <c r="Q41" s="4">
        <v>1181.7952</v>
      </c>
      <c r="R41" s="4">
        <v>138437.85149999999</v>
      </c>
      <c r="S41" s="4">
        <v>45135.006399999998</v>
      </c>
      <c r="T41" s="4">
        <v>42241.947899999999</v>
      </c>
      <c r="U41" s="4">
        <v>3801.1727000000001</v>
      </c>
      <c r="V41" s="4">
        <v>38440.775199999996</v>
      </c>
      <c r="W41" s="4">
        <v>2893.0585999999998</v>
      </c>
    </row>
    <row r="42" spans="1:23" x14ac:dyDescent="0.2">
      <c r="A42" s="3">
        <v>41061</v>
      </c>
      <c r="B42" s="4">
        <v>185777.8162</v>
      </c>
      <c r="C42" s="4">
        <v>21913.773499999999</v>
      </c>
      <c r="D42" s="4">
        <v>9399.6136999999999</v>
      </c>
      <c r="E42" s="4">
        <v>12514.159799999999</v>
      </c>
      <c r="F42" s="5">
        <v>207.5772</v>
      </c>
      <c r="G42" s="4">
        <v>25.636500000000002</v>
      </c>
      <c r="H42" s="4">
        <v>181.94069999999999</v>
      </c>
      <c r="I42" s="4">
        <v>67281.550600000002</v>
      </c>
      <c r="J42" s="4">
        <v>58405.271099999998</v>
      </c>
      <c r="K42" s="4">
        <v>4802.5105000000003</v>
      </c>
      <c r="L42" s="4">
        <v>4073.7689</v>
      </c>
      <c r="M42" s="4">
        <v>75564.861999999994</v>
      </c>
      <c r="N42" s="4">
        <v>19677.560099999999</v>
      </c>
      <c r="O42" s="4">
        <v>19408.571599999999</v>
      </c>
      <c r="P42" s="4">
        <v>268.98849999999999</v>
      </c>
      <c r="Q42" s="4">
        <v>1132.4928</v>
      </c>
      <c r="R42" s="4">
        <v>139521.3383</v>
      </c>
      <c r="S42" s="4">
        <v>46256.477899999998</v>
      </c>
      <c r="T42" s="4">
        <v>43444.917399999998</v>
      </c>
      <c r="U42" s="4">
        <v>3793.5823</v>
      </c>
      <c r="V42" s="4">
        <v>39651.335200000001</v>
      </c>
      <c r="W42" s="4">
        <v>2811.5605</v>
      </c>
    </row>
    <row r="43" spans="1:23" x14ac:dyDescent="0.2">
      <c r="A43" s="3">
        <v>41153</v>
      </c>
      <c r="B43" s="4">
        <v>189421.2874</v>
      </c>
      <c r="C43" s="4">
        <v>23212.198700000001</v>
      </c>
      <c r="D43" s="4">
        <v>10493.9023</v>
      </c>
      <c r="E43" s="4">
        <v>12718.296399999999</v>
      </c>
      <c r="F43" s="5">
        <v>202.2869</v>
      </c>
      <c r="G43" s="4">
        <v>24.0242</v>
      </c>
      <c r="H43" s="4">
        <v>178.2627</v>
      </c>
      <c r="I43" s="4">
        <v>67930.021200000003</v>
      </c>
      <c r="J43" s="4">
        <v>58949.122600000002</v>
      </c>
      <c r="K43" s="4">
        <v>4979.2833000000001</v>
      </c>
      <c r="L43" s="4">
        <v>4001.6154000000001</v>
      </c>
      <c r="M43" s="4">
        <v>77096.9663</v>
      </c>
      <c r="N43" s="4">
        <v>19963.947800000002</v>
      </c>
      <c r="O43" s="4">
        <v>19698.194899999999</v>
      </c>
      <c r="P43" s="4">
        <v>265.75290000000001</v>
      </c>
      <c r="Q43" s="4">
        <v>1015.8664</v>
      </c>
      <c r="R43" s="4">
        <v>142372.80369999999</v>
      </c>
      <c r="S43" s="4">
        <v>47048.483699999997</v>
      </c>
      <c r="T43" s="4">
        <v>44324.705199999997</v>
      </c>
      <c r="U43" s="4">
        <v>3874.5162</v>
      </c>
      <c r="V43" s="4">
        <v>40450.188900000001</v>
      </c>
      <c r="W43" s="4">
        <v>2723.7786000000001</v>
      </c>
    </row>
    <row r="44" spans="1:23" x14ac:dyDescent="0.2">
      <c r="A44" s="3">
        <v>41244</v>
      </c>
      <c r="B44" s="4">
        <v>195560.1588</v>
      </c>
      <c r="C44" s="4">
        <v>24430.933700000001</v>
      </c>
      <c r="D44" s="4">
        <v>11487.436100000001</v>
      </c>
      <c r="E44" s="4">
        <v>12943.497499999999</v>
      </c>
      <c r="F44" s="5">
        <v>219.1414</v>
      </c>
      <c r="G44" s="4">
        <v>24.400400000000001</v>
      </c>
      <c r="H44" s="4">
        <v>194.74100000000001</v>
      </c>
      <c r="I44" s="4">
        <v>69493.090700000001</v>
      </c>
      <c r="J44" s="4">
        <v>60715.495999999999</v>
      </c>
      <c r="K44" s="4">
        <v>4786.4647999999997</v>
      </c>
      <c r="L44" s="4">
        <v>3991.13</v>
      </c>
      <c r="M44" s="4">
        <v>79763.305300000007</v>
      </c>
      <c r="N44" s="4">
        <v>20512.184499999999</v>
      </c>
      <c r="O44" s="4">
        <v>20242.813900000001</v>
      </c>
      <c r="P44" s="4">
        <v>269.37060000000002</v>
      </c>
      <c r="Q44" s="4">
        <v>1141.5033000000001</v>
      </c>
      <c r="R44" s="4">
        <v>146781.18160000001</v>
      </c>
      <c r="S44" s="4">
        <v>48778.977200000001</v>
      </c>
      <c r="T44" s="4">
        <v>45932.5867</v>
      </c>
      <c r="U44" s="4">
        <v>4109.8290999999999</v>
      </c>
      <c r="V44" s="4">
        <v>41822.757599999997</v>
      </c>
      <c r="W44" s="4">
        <v>2846.3905</v>
      </c>
    </row>
    <row r="45" spans="1:23" x14ac:dyDescent="0.2">
      <c r="A45" s="3">
        <v>41334</v>
      </c>
      <c r="B45" s="4">
        <v>201419.75719999999</v>
      </c>
      <c r="C45" s="4">
        <v>25130.9352</v>
      </c>
      <c r="D45" s="4">
        <v>11497.947899999999</v>
      </c>
      <c r="E45" s="4">
        <v>13632.987300000001</v>
      </c>
      <c r="F45" s="5">
        <v>215.77420000000001</v>
      </c>
      <c r="G45" s="4">
        <v>23.3871</v>
      </c>
      <c r="H45" s="4">
        <v>192.3871</v>
      </c>
      <c r="I45" s="4">
        <v>71977.702099999995</v>
      </c>
      <c r="J45" s="4">
        <v>62333.580699999999</v>
      </c>
      <c r="K45" s="4">
        <v>5398.9449999999997</v>
      </c>
      <c r="L45" s="4">
        <v>4245.1763000000001</v>
      </c>
      <c r="M45" s="4">
        <v>82236.552800000005</v>
      </c>
      <c r="N45" s="4">
        <v>20916.178800000002</v>
      </c>
      <c r="O45" s="4">
        <v>20642.041700000002</v>
      </c>
      <c r="P45" s="4">
        <v>274.13709999999998</v>
      </c>
      <c r="Q45" s="4">
        <v>942.61419999999998</v>
      </c>
      <c r="R45" s="4">
        <v>151659.97339999999</v>
      </c>
      <c r="S45" s="4">
        <v>49759.783799999997</v>
      </c>
      <c r="T45" s="4">
        <v>47029.982900000003</v>
      </c>
      <c r="U45" s="4">
        <v>4219.8527000000004</v>
      </c>
      <c r="V45" s="4">
        <v>42810.1302</v>
      </c>
      <c r="W45" s="4">
        <v>2729.8009000000002</v>
      </c>
    </row>
    <row r="46" spans="1:23" x14ac:dyDescent="0.2">
      <c r="A46" s="3">
        <v>41426</v>
      </c>
      <c r="B46" s="4">
        <v>204846.96049999999</v>
      </c>
      <c r="C46" s="4">
        <v>25864.4427</v>
      </c>
      <c r="D46" s="4">
        <v>11681.200999999999</v>
      </c>
      <c r="E46" s="4">
        <v>14183.2417</v>
      </c>
      <c r="F46" s="5">
        <v>210.7792</v>
      </c>
      <c r="G46" s="4">
        <v>6.6070000000000002</v>
      </c>
      <c r="H46" s="4">
        <v>204.1722</v>
      </c>
      <c r="I46" s="4">
        <v>74054.342799999999</v>
      </c>
      <c r="J46" s="4">
        <v>64123.164299999997</v>
      </c>
      <c r="K46" s="4">
        <v>5767.28</v>
      </c>
      <c r="L46" s="4">
        <v>4163.8985000000002</v>
      </c>
      <c r="M46" s="4">
        <v>82497.751199999999</v>
      </c>
      <c r="N46" s="4">
        <v>21310.0085</v>
      </c>
      <c r="O46" s="4">
        <v>21026.911</v>
      </c>
      <c r="P46" s="4">
        <v>283.09750000000003</v>
      </c>
      <c r="Q46" s="4">
        <v>909.63589999999999</v>
      </c>
      <c r="R46" s="4">
        <v>153889.595</v>
      </c>
      <c r="S46" s="4">
        <v>50957.3655</v>
      </c>
      <c r="T46" s="4">
        <v>48216.451099999998</v>
      </c>
      <c r="U46" s="4">
        <v>4219.7429000000002</v>
      </c>
      <c r="V46" s="4">
        <v>43996.708200000001</v>
      </c>
      <c r="W46" s="4">
        <v>2740.9144000000001</v>
      </c>
    </row>
    <row r="47" spans="1:23" x14ac:dyDescent="0.2">
      <c r="A47" s="3">
        <v>41518</v>
      </c>
      <c r="B47" s="4">
        <v>209619.67019999999</v>
      </c>
      <c r="C47" s="4">
        <v>26095.719499999999</v>
      </c>
      <c r="D47" s="4">
        <v>11488.9066</v>
      </c>
      <c r="E47" s="4">
        <v>14606.812900000001</v>
      </c>
      <c r="F47" s="5">
        <v>207.65780000000001</v>
      </c>
      <c r="G47" s="4">
        <v>3.6781000000000001</v>
      </c>
      <c r="H47" s="4">
        <v>203.97970000000001</v>
      </c>
      <c r="I47" s="4">
        <v>75453.512700000007</v>
      </c>
      <c r="J47" s="4">
        <v>65489.997000000003</v>
      </c>
      <c r="K47" s="4">
        <v>5699.8783999999996</v>
      </c>
      <c r="L47" s="4">
        <v>4263.6373000000003</v>
      </c>
      <c r="M47" s="4">
        <v>85027.241500000004</v>
      </c>
      <c r="N47" s="4">
        <v>21899.140500000001</v>
      </c>
      <c r="O47" s="4">
        <v>21606.901699999999</v>
      </c>
      <c r="P47" s="4">
        <v>292.23880000000003</v>
      </c>
      <c r="Q47" s="4">
        <v>936.39819999999997</v>
      </c>
      <c r="R47" s="4">
        <v>157340.65580000001</v>
      </c>
      <c r="S47" s="4">
        <v>52279.0144</v>
      </c>
      <c r="T47" s="4">
        <v>49552.388299999999</v>
      </c>
      <c r="U47" s="4">
        <v>4329.3615</v>
      </c>
      <c r="V47" s="4">
        <v>45223.0268</v>
      </c>
      <c r="W47" s="4">
        <v>2726.6262000000002</v>
      </c>
    </row>
    <row r="48" spans="1:23" x14ac:dyDescent="0.2">
      <c r="A48" s="3">
        <v>41609</v>
      </c>
      <c r="B48" s="4">
        <v>217008.65580000001</v>
      </c>
      <c r="C48" s="4">
        <v>27083.334299999999</v>
      </c>
      <c r="D48" s="4">
        <v>12830.5983</v>
      </c>
      <c r="E48" s="4">
        <v>14252.736000000001</v>
      </c>
      <c r="F48" s="5">
        <v>198.04480000000001</v>
      </c>
      <c r="G48" s="4">
        <v>4.5251999999999999</v>
      </c>
      <c r="H48" s="4">
        <v>193.5196</v>
      </c>
      <c r="I48" s="4">
        <v>77833.4421</v>
      </c>
      <c r="J48" s="4">
        <v>67581.571800000005</v>
      </c>
      <c r="K48" s="4">
        <v>5609.0726000000004</v>
      </c>
      <c r="L48" s="4">
        <v>4642.7977000000001</v>
      </c>
      <c r="M48" s="4">
        <v>88360.690700000006</v>
      </c>
      <c r="N48" s="4">
        <v>22505.037199999999</v>
      </c>
      <c r="O48" s="4">
        <v>22206.082299999998</v>
      </c>
      <c r="P48" s="4">
        <v>298.95490000000001</v>
      </c>
      <c r="Q48" s="4">
        <v>1028.1067</v>
      </c>
      <c r="R48" s="4">
        <v>162772.17600000001</v>
      </c>
      <c r="S48" s="4">
        <v>54236.479800000001</v>
      </c>
      <c r="T48" s="4">
        <v>51185.648300000001</v>
      </c>
      <c r="U48" s="4">
        <v>4645.9525000000003</v>
      </c>
      <c r="V48" s="4">
        <v>46539.695800000001</v>
      </c>
      <c r="W48" s="4">
        <v>3050.8314</v>
      </c>
    </row>
    <row r="49" spans="1:23" x14ac:dyDescent="0.2">
      <c r="A49" s="3">
        <v>41699</v>
      </c>
      <c r="B49" s="4">
        <v>226484.2329</v>
      </c>
      <c r="C49" s="4">
        <v>27753.984899999999</v>
      </c>
      <c r="D49" s="4">
        <v>13270.496800000001</v>
      </c>
      <c r="E49" s="4">
        <v>14483.4881</v>
      </c>
      <c r="F49" s="5">
        <v>206.36940000000001</v>
      </c>
      <c r="G49" s="4">
        <v>2.6385999999999998</v>
      </c>
      <c r="H49" s="4">
        <v>203.73089999999999</v>
      </c>
      <c r="I49" s="4">
        <v>81970.890299999999</v>
      </c>
      <c r="J49" s="4">
        <v>70168.005900000004</v>
      </c>
      <c r="K49" s="4">
        <v>6309.1611999999996</v>
      </c>
      <c r="L49" s="4">
        <v>5493.7232999999997</v>
      </c>
      <c r="M49" s="4">
        <v>92400.366599999994</v>
      </c>
      <c r="N49" s="4">
        <v>23150.779200000001</v>
      </c>
      <c r="O49" s="4">
        <v>22839.368699999999</v>
      </c>
      <c r="P49" s="4">
        <v>311.41050000000001</v>
      </c>
      <c r="Q49" s="4">
        <v>1001.8425</v>
      </c>
      <c r="R49" s="4">
        <v>170544.37770000001</v>
      </c>
      <c r="S49" s="4">
        <v>55939.855300000003</v>
      </c>
      <c r="T49" s="4">
        <v>52922.897499999999</v>
      </c>
      <c r="U49" s="4">
        <v>4827.7061999999996</v>
      </c>
      <c r="V49" s="4">
        <v>48095.191400000003</v>
      </c>
      <c r="W49" s="4">
        <v>3016.9576999999999</v>
      </c>
    </row>
    <row r="50" spans="1:23" x14ac:dyDescent="0.2">
      <c r="A50" s="3">
        <v>41791</v>
      </c>
      <c r="B50" s="4">
        <v>235496.07579999999</v>
      </c>
      <c r="C50" s="4">
        <v>27536.049900000002</v>
      </c>
      <c r="D50" s="4">
        <v>13125.113499999999</v>
      </c>
      <c r="E50" s="4">
        <v>14410.936400000001</v>
      </c>
      <c r="F50" s="5">
        <v>206.67330000000001</v>
      </c>
      <c r="G50" s="4">
        <v>2.5602</v>
      </c>
      <c r="H50" s="4">
        <v>204.1131</v>
      </c>
      <c r="I50" s="4">
        <v>85624.426699999996</v>
      </c>
      <c r="J50" s="4">
        <v>72811.599400000006</v>
      </c>
      <c r="K50" s="4">
        <v>6023.1031999999996</v>
      </c>
      <c r="L50" s="4">
        <v>6789.7241000000004</v>
      </c>
      <c r="M50" s="4">
        <v>97098.002299999993</v>
      </c>
      <c r="N50" s="4">
        <v>24027.707600000002</v>
      </c>
      <c r="O50" s="4">
        <v>23698.643100000001</v>
      </c>
      <c r="P50" s="4">
        <v>329.06450000000001</v>
      </c>
      <c r="Q50" s="4">
        <v>1003.216</v>
      </c>
      <c r="R50" s="4">
        <v>177771.91899999999</v>
      </c>
      <c r="S50" s="4">
        <v>57724.1567</v>
      </c>
      <c r="T50" s="4">
        <v>54696.034899999999</v>
      </c>
      <c r="U50" s="4">
        <v>4839.6283000000003</v>
      </c>
      <c r="V50" s="4">
        <v>49856.406499999997</v>
      </c>
      <c r="W50" s="4">
        <v>3028.1219000000001</v>
      </c>
    </row>
    <row r="51" spans="1:23" x14ac:dyDescent="0.2">
      <c r="A51" s="3">
        <v>41883</v>
      </c>
      <c r="B51" s="4">
        <v>246627.15280000001</v>
      </c>
      <c r="C51" s="4">
        <v>27672.843700000001</v>
      </c>
      <c r="D51" s="4">
        <v>13195.568799999999</v>
      </c>
      <c r="E51" s="4">
        <v>14477.2749</v>
      </c>
      <c r="F51" s="5">
        <v>228.20769999999999</v>
      </c>
      <c r="G51" s="4">
        <v>5.1257000000000001</v>
      </c>
      <c r="H51" s="4">
        <v>223.08199999999999</v>
      </c>
      <c r="I51" s="4">
        <v>91131.250599999999</v>
      </c>
      <c r="J51" s="4">
        <v>77249.440499999997</v>
      </c>
      <c r="K51" s="4">
        <v>6471.0909000000001</v>
      </c>
      <c r="L51" s="4">
        <v>7410.7191999999995</v>
      </c>
      <c r="M51" s="4">
        <v>101828.7843</v>
      </c>
      <c r="N51" s="4">
        <v>24662.4234</v>
      </c>
      <c r="O51" s="4">
        <v>24324.7621</v>
      </c>
      <c r="P51" s="4">
        <v>337.66129999999998</v>
      </c>
      <c r="Q51" s="4">
        <v>1103.6431</v>
      </c>
      <c r="R51" s="4">
        <v>187658.89240000001</v>
      </c>
      <c r="S51" s="4">
        <v>58968.260399999999</v>
      </c>
      <c r="T51" s="4">
        <v>55930.740400000002</v>
      </c>
      <c r="U51" s="4">
        <v>4999.6282000000001</v>
      </c>
      <c r="V51" s="4">
        <v>50931.112200000003</v>
      </c>
      <c r="W51" s="4">
        <v>3037.52</v>
      </c>
    </row>
    <row r="52" spans="1:23" x14ac:dyDescent="0.2">
      <c r="A52" s="3">
        <v>41974</v>
      </c>
      <c r="B52" s="4">
        <v>254320.62909999999</v>
      </c>
      <c r="C52" s="4">
        <v>29728.7559</v>
      </c>
      <c r="D52" s="4">
        <v>14458.245500000001</v>
      </c>
      <c r="E52" s="4">
        <v>15270.510399999999</v>
      </c>
      <c r="F52" s="5">
        <v>236.6788</v>
      </c>
      <c r="G52" s="4">
        <v>11.1183</v>
      </c>
      <c r="H52" s="4">
        <v>225.56049999999999</v>
      </c>
      <c r="I52" s="4">
        <v>93298.782999999996</v>
      </c>
      <c r="J52" s="4">
        <v>79626.705900000001</v>
      </c>
      <c r="K52" s="4">
        <v>6706.0118000000002</v>
      </c>
      <c r="L52" s="4">
        <v>6966.0654000000004</v>
      </c>
      <c r="M52" s="4">
        <v>104287.87880000001</v>
      </c>
      <c r="N52" s="4">
        <v>25558.648399999998</v>
      </c>
      <c r="O52" s="4">
        <v>25209.894199999999</v>
      </c>
      <c r="P52" s="4">
        <v>348.75420000000003</v>
      </c>
      <c r="Q52" s="4">
        <v>1209.8841</v>
      </c>
      <c r="R52" s="4">
        <v>192750.72820000001</v>
      </c>
      <c r="S52" s="4">
        <v>61569.900800000003</v>
      </c>
      <c r="T52" s="4">
        <v>58240.903599999998</v>
      </c>
      <c r="U52" s="4">
        <v>5325.3969999999999</v>
      </c>
      <c r="V52" s="4">
        <v>52915.506500000003</v>
      </c>
      <c r="W52" s="4">
        <v>3328.9973</v>
      </c>
    </row>
    <row r="53" spans="1:23" x14ac:dyDescent="0.2">
      <c r="A53" s="3">
        <v>42064</v>
      </c>
      <c r="B53" s="4">
        <v>261461.26730000001</v>
      </c>
      <c r="C53" s="4">
        <v>30177.084299999999</v>
      </c>
      <c r="D53" s="4">
        <v>14526.4656</v>
      </c>
      <c r="E53" s="4">
        <v>15650.618700000001</v>
      </c>
      <c r="F53" s="5">
        <v>239.83940000000001</v>
      </c>
      <c r="G53" s="4">
        <v>6.7435999999999998</v>
      </c>
      <c r="H53" s="4">
        <v>233.0958</v>
      </c>
      <c r="I53" s="4">
        <v>94994.122499999998</v>
      </c>
      <c r="J53" s="4">
        <v>80905.463699999993</v>
      </c>
      <c r="K53" s="4">
        <v>6208.7385000000004</v>
      </c>
      <c r="L53" s="4">
        <v>7879.9202999999998</v>
      </c>
      <c r="M53" s="4">
        <v>108774.2433</v>
      </c>
      <c r="N53" s="4">
        <v>26012.767800000001</v>
      </c>
      <c r="O53" s="4">
        <v>25661.43</v>
      </c>
      <c r="P53" s="4">
        <v>351.33780000000002</v>
      </c>
      <c r="Q53" s="4">
        <v>1263.21</v>
      </c>
      <c r="R53" s="4">
        <v>198672.50260000001</v>
      </c>
      <c r="S53" s="4">
        <v>62788.7647</v>
      </c>
      <c r="T53" s="4">
        <v>59481.2696</v>
      </c>
      <c r="U53" s="4">
        <v>5459.8162000000002</v>
      </c>
      <c r="V53" s="4">
        <v>54021.453399999999</v>
      </c>
      <c r="W53" s="4">
        <v>3307.4951000000001</v>
      </c>
    </row>
    <row r="54" spans="1:23" x14ac:dyDescent="0.2">
      <c r="A54" s="3">
        <v>42156</v>
      </c>
      <c r="B54" s="4">
        <v>265114.11810000002</v>
      </c>
      <c r="C54" s="4">
        <v>30889.2601</v>
      </c>
      <c r="D54" s="4">
        <v>14940.032800000001</v>
      </c>
      <c r="E54" s="4">
        <v>15949.227199999999</v>
      </c>
      <c r="F54" s="5">
        <v>242.2028</v>
      </c>
      <c r="G54" s="4">
        <v>5.5647000000000002</v>
      </c>
      <c r="H54" s="4">
        <v>236.63810000000001</v>
      </c>
      <c r="I54" s="4">
        <v>96029.465599999996</v>
      </c>
      <c r="J54" s="4">
        <v>81788.981400000004</v>
      </c>
      <c r="K54" s="4">
        <v>6340.3807999999999</v>
      </c>
      <c r="L54" s="4">
        <v>7900.1035000000002</v>
      </c>
      <c r="M54" s="4">
        <v>109703.77959999999</v>
      </c>
      <c r="N54" s="4">
        <v>27000.569299999999</v>
      </c>
      <c r="O54" s="4">
        <v>26633.811799999999</v>
      </c>
      <c r="P54" s="4">
        <v>366.75749999999999</v>
      </c>
      <c r="Q54" s="4">
        <v>1248.8407</v>
      </c>
      <c r="R54" s="4">
        <v>200404.04370000001</v>
      </c>
      <c r="S54" s="4">
        <v>64710.074399999998</v>
      </c>
      <c r="T54" s="4">
        <v>61211.839800000002</v>
      </c>
      <c r="U54" s="4">
        <v>5407.9760999999999</v>
      </c>
      <c r="V54" s="4">
        <v>55803.863700000002</v>
      </c>
      <c r="W54" s="4">
        <v>3498.2345</v>
      </c>
    </row>
    <row r="55" spans="1:23" x14ac:dyDescent="0.2">
      <c r="A55" s="3">
        <v>42248</v>
      </c>
      <c r="B55" s="4">
        <v>271539.84330000001</v>
      </c>
      <c r="C55" s="4">
        <v>32170.919600000001</v>
      </c>
      <c r="D55" s="4">
        <v>15575.087100000001</v>
      </c>
      <c r="E55" s="4">
        <v>16595.8325</v>
      </c>
      <c r="F55" s="5">
        <v>267.92750000000001</v>
      </c>
      <c r="G55" s="4">
        <v>5.27</v>
      </c>
      <c r="H55" s="4">
        <v>262.6576</v>
      </c>
      <c r="I55" s="4">
        <v>99165.393200000006</v>
      </c>
      <c r="J55" s="4">
        <v>84431.362299999993</v>
      </c>
      <c r="K55" s="4">
        <v>6489.1790000000001</v>
      </c>
      <c r="L55" s="4">
        <v>8244.8518999999997</v>
      </c>
      <c r="M55" s="4">
        <v>110520.5551</v>
      </c>
      <c r="N55" s="4">
        <v>27952.355500000001</v>
      </c>
      <c r="O55" s="4">
        <v>27570.669099999999</v>
      </c>
      <c r="P55" s="4">
        <v>381.68630000000002</v>
      </c>
      <c r="Q55" s="4">
        <v>1462.6923999999999</v>
      </c>
      <c r="R55" s="4">
        <v>205060.84849999999</v>
      </c>
      <c r="S55" s="4">
        <v>66478.9948</v>
      </c>
      <c r="T55" s="4">
        <v>62991.552600000003</v>
      </c>
      <c r="U55" s="4">
        <v>5473.9624000000003</v>
      </c>
      <c r="V55" s="4">
        <v>57517.590199999999</v>
      </c>
      <c r="W55" s="4">
        <v>3487.4422</v>
      </c>
    </row>
    <row r="56" spans="1:23" x14ac:dyDescent="0.2">
      <c r="A56" s="3">
        <v>42339</v>
      </c>
      <c r="B56" s="4">
        <v>278270.3149</v>
      </c>
      <c r="C56" s="4">
        <v>34632.4378</v>
      </c>
      <c r="D56" s="4">
        <v>16762.870299999999</v>
      </c>
      <c r="E56" s="4">
        <v>17869.567500000001</v>
      </c>
      <c r="F56" s="5">
        <v>281.43549999999999</v>
      </c>
      <c r="G56" s="4">
        <v>12.978300000000001</v>
      </c>
      <c r="H56" s="4">
        <v>268.4572</v>
      </c>
      <c r="I56" s="4">
        <v>99218.434599999993</v>
      </c>
      <c r="J56" s="4">
        <v>85496.374599999996</v>
      </c>
      <c r="K56" s="4">
        <v>6408.6498000000001</v>
      </c>
      <c r="L56" s="4">
        <v>7313.4101000000001</v>
      </c>
      <c r="M56" s="4">
        <v>113819.0756</v>
      </c>
      <c r="N56" s="4">
        <v>28827.903200000001</v>
      </c>
      <c r="O56" s="4">
        <v>28447.906999999999</v>
      </c>
      <c r="P56" s="4">
        <v>379.99619999999999</v>
      </c>
      <c r="Q56" s="4">
        <v>1491.0281</v>
      </c>
      <c r="R56" s="4">
        <v>208990.51319999999</v>
      </c>
      <c r="S56" s="4">
        <v>69279.801600000006</v>
      </c>
      <c r="T56" s="4">
        <v>65445.6175</v>
      </c>
      <c r="U56" s="4">
        <v>5794.2426999999998</v>
      </c>
      <c r="V56" s="4">
        <v>59651.3747</v>
      </c>
      <c r="W56" s="4">
        <v>3834.1842000000001</v>
      </c>
    </row>
    <row r="57" spans="1:23" x14ac:dyDescent="0.2">
      <c r="A57" s="3">
        <v>42430</v>
      </c>
      <c r="B57" s="4">
        <v>283288.69030000002</v>
      </c>
      <c r="C57" s="4">
        <v>35530.838199999998</v>
      </c>
      <c r="D57" s="4">
        <v>16622.008399999999</v>
      </c>
      <c r="E57" s="4">
        <v>18908.829900000001</v>
      </c>
      <c r="F57" s="5">
        <v>250.4607</v>
      </c>
      <c r="G57" s="4">
        <v>7.0288000000000004</v>
      </c>
      <c r="H57" s="4">
        <v>243.43190000000001</v>
      </c>
      <c r="I57" s="4">
        <v>101713.2314</v>
      </c>
      <c r="J57" s="4">
        <v>87503.665399999998</v>
      </c>
      <c r="K57" s="4">
        <v>6914.2601000000004</v>
      </c>
      <c r="L57" s="4">
        <v>7295.3059000000003</v>
      </c>
      <c r="M57" s="4">
        <v>114919.9227</v>
      </c>
      <c r="N57" s="4">
        <v>29541.865900000001</v>
      </c>
      <c r="O57" s="4">
        <v>29171.807700000001</v>
      </c>
      <c r="P57" s="4">
        <v>370.05829999999997</v>
      </c>
      <c r="Q57" s="4">
        <v>1332.3714</v>
      </c>
      <c r="R57" s="4">
        <v>212547.91740000001</v>
      </c>
      <c r="S57" s="4">
        <v>70740.772899999996</v>
      </c>
      <c r="T57" s="4">
        <v>66976.729200000002</v>
      </c>
      <c r="U57" s="4">
        <v>5882.0592999999999</v>
      </c>
      <c r="V57" s="4">
        <v>61094.67</v>
      </c>
      <c r="W57" s="4">
        <v>3764.0437000000002</v>
      </c>
    </row>
    <row r="58" spans="1:23" x14ac:dyDescent="0.2">
      <c r="A58" s="3">
        <v>42522</v>
      </c>
      <c r="B58" s="4">
        <v>286992.6459</v>
      </c>
      <c r="C58" s="4">
        <v>36231.652800000003</v>
      </c>
      <c r="D58" s="4">
        <v>16758.668900000001</v>
      </c>
      <c r="E58" s="4">
        <v>19472.983899999999</v>
      </c>
      <c r="F58" s="5">
        <v>249.09049999999999</v>
      </c>
      <c r="G58" s="4">
        <v>11.9923</v>
      </c>
      <c r="H58" s="4">
        <v>237.09809999999999</v>
      </c>
      <c r="I58" s="4">
        <v>102929.0569</v>
      </c>
      <c r="J58" s="4">
        <v>88386.255399999995</v>
      </c>
      <c r="K58" s="4">
        <v>6815.5816000000004</v>
      </c>
      <c r="L58" s="4">
        <v>7727.2199000000001</v>
      </c>
      <c r="M58" s="4">
        <v>115844.9271</v>
      </c>
      <c r="N58" s="4">
        <v>30511.571899999999</v>
      </c>
      <c r="O58" s="4">
        <v>30133.604599999999</v>
      </c>
      <c r="P58" s="4">
        <v>377.96730000000002</v>
      </c>
      <c r="Q58" s="4">
        <v>1226.3467000000001</v>
      </c>
      <c r="R58" s="4">
        <v>214619.60380000001</v>
      </c>
      <c r="S58" s="4">
        <v>72373.042100000006</v>
      </c>
      <c r="T58" s="4">
        <v>68522.360700000005</v>
      </c>
      <c r="U58" s="4">
        <v>5851.7963</v>
      </c>
      <c r="V58" s="4">
        <v>62670.564400000003</v>
      </c>
      <c r="W58" s="4">
        <v>3850.6813999999999</v>
      </c>
    </row>
    <row r="59" spans="1:23" x14ac:dyDescent="0.2">
      <c r="A59" s="3">
        <v>42614</v>
      </c>
      <c r="B59" s="4">
        <v>294912.04950000002</v>
      </c>
      <c r="C59" s="4">
        <v>35974.375999999997</v>
      </c>
      <c r="D59" s="4">
        <v>16493.467700000001</v>
      </c>
      <c r="E59" s="4">
        <v>19480.908299999999</v>
      </c>
      <c r="F59" s="5">
        <v>261.03750000000002</v>
      </c>
      <c r="G59" s="4">
        <v>11.7858</v>
      </c>
      <c r="H59" s="4">
        <v>249.2517</v>
      </c>
      <c r="I59" s="4">
        <v>104588.8615</v>
      </c>
      <c r="J59" s="4">
        <v>89212.232399999994</v>
      </c>
      <c r="K59" s="4">
        <v>6737.5054</v>
      </c>
      <c r="L59" s="4">
        <v>8639.1237000000001</v>
      </c>
      <c r="M59" s="4">
        <v>121403.86259999999</v>
      </c>
      <c r="N59" s="4">
        <v>31405.920900000001</v>
      </c>
      <c r="O59" s="4">
        <v>31024.8501</v>
      </c>
      <c r="P59" s="4">
        <v>381.07080000000002</v>
      </c>
      <c r="Q59" s="4">
        <v>1277.991</v>
      </c>
      <c r="R59" s="4">
        <v>221264.59529999999</v>
      </c>
      <c r="S59" s="4">
        <v>73647.454199999993</v>
      </c>
      <c r="T59" s="4">
        <v>69762.493600000002</v>
      </c>
      <c r="U59" s="4">
        <v>5877.8360000000002</v>
      </c>
      <c r="V59" s="4">
        <v>63884.657599999999</v>
      </c>
      <c r="W59" s="4">
        <v>3884.9605999999999</v>
      </c>
    </row>
    <row r="60" spans="1:23" x14ac:dyDescent="0.2">
      <c r="A60" s="3">
        <v>42705</v>
      </c>
      <c r="B60" s="4">
        <v>298330.85149999999</v>
      </c>
      <c r="C60" s="4">
        <v>37728.949500000002</v>
      </c>
      <c r="D60" s="4">
        <v>17774.6692</v>
      </c>
      <c r="E60" s="4">
        <v>19954.280299999999</v>
      </c>
      <c r="F60" s="5">
        <v>270.47910000000002</v>
      </c>
      <c r="G60" s="4">
        <v>13.4451</v>
      </c>
      <c r="H60" s="4">
        <v>257.03399999999999</v>
      </c>
      <c r="I60" s="4">
        <v>105355.0055</v>
      </c>
      <c r="J60" s="4">
        <v>90598.657699999996</v>
      </c>
      <c r="K60" s="4">
        <v>6820.8144000000002</v>
      </c>
      <c r="L60" s="4">
        <v>7935.5334000000003</v>
      </c>
      <c r="M60" s="4">
        <v>121562.4543</v>
      </c>
      <c r="N60" s="4">
        <v>32106.408500000001</v>
      </c>
      <c r="O60" s="4">
        <v>31715.210200000001</v>
      </c>
      <c r="P60" s="4">
        <v>391.19830000000002</v>
      </c>
      <c r="Q60" s="4">
        <v>1307.5545999999999</v>
      </c>
      <c r="R60" s="4">
        <v>222480.1292</v>
      </c>
      <c r="S60" s="4">
        <v>75850.722299999994</v>
      </c>
      <c r="T60" s="4">
        <v>71600.4712</v>
      </c>
      <c r="U60" s="4">
        <v>6167.3206</v>
      </c>
      <c r="V60" s="4">
        <v>65433.150600000001</v>
      </c>
      <c r="W60" s="4">
        <v>4250.2511000000004</v>
      </c>
    </row>
    <row r="61" spans="1:23" x14ac:dyDescent="0.2">
      <c r="A61" s="3">
        <v>42795</v>
      </c>
      <c r="B61" s="4">
        <v>308292.56089999998</v>
      </c>
      <c r="C61" s="4">
        <v>37224.937599999997</v>
      </c>
      <c r="D61" s="4">
        <v>17339.484799999998</v>
      </c>
      <c r="E61" s="4">
        <v>19885.452799999999</v>
      </c>
      <c r="F61" s="5">
        <v>269.10509999999999</v>
      </c>
      <c r="G61" s="4">
        <v>11.9961</v>
      </c>
      <c r="H61" s="4">
        <v>257.10899999999998</v>
      </c>
      <c r="I61" s="4">
        <v>107959.3318</v>
      </c>
      <c r="J61" s="4">
        <v>92360.4274</v>
      </c>
      <c r="K61" s="4">
        <v>7025.5099</v>
      </c>
      <c r="L61" s="4">
        <v>8573.3945000000003</v>
      </c>
      <c r="M61" s="4">
        <v>128726.1391</v>
      </c>
      <c r="N61" s="4">
        <v>32858.442799999997</v>
      </c>
      <c r="O61" s="4">
        <v>32461.2107</v>
      </c>
      <c r="P61" s="4">
        <v>397.2321</v>
      </c>
      <c r="Q61" s="4">
        <v>1254.6045999999999</v>
      </c>
      <c r="R61" s="4">
        <v>230790.1605</v>
      </c>
      <c r="S61" s="4">
        <v>77502.400399999999</v>
      </c>
      <c r="T61" s="4">
        <v>73231.345400000006</v>
      </c>
      <c r="U61" s="4">
        <v>6236.0205999999998</v>
      </c>
      <c r="V61" s="4">
        <v>66995.324800000002</v>
      </c>
      <c r="W61" s="4">
        <v>4271.0550000000003</v>
      </c>
    </row>
    <row r="62" spans="1:23" x14ac:dyDescent="0.2">
      <c r="A62" s="3">
        <v>42887</v>
      </c>
      <c r="B62" s="4">
        <v>312131.37640000001</v>
      </c>
      <c r="C62" s="4">
        <v>37535.6803</v>
      </c>
      <c r="D62" s="4">
        <v>17825.716799999998</v>
      </c>
      <c r="E62" s="4">
        <v>19709.963500000002</v>
      </c>
      <c r="F62" s="5">
        <v>274.51280000000003</v>
      </c>
      <c r="G62" s="4">
        <v>8.7680000000000007</v>
      </c>
      <c r="H62" s="4">
        <v>265.74489999999997</v>
      </c>
      <c r="I62" s="4">
        <v>107834.6128</v>
      </c>
      <c r="J62" s="4">
        <v>92148.156099999993</v>
      </c>
      <c r="K62" s="4">
        <v>6934.9727999999996</v>
      </c>
      <c r="L62" s="4">
        <v>8751.4838999999993</v>
      </c>
      <c r="M62" s="4">
        <v>131505.63560000001</v>
      </c>
      <c r="N62" s="4">
        <v>33690.5743</v>
      </c>
      <c r="O62" s="4">
        <v>33278.068700000003</v>
      </c>
      <c r="P62" s="4">
        <v>412.50560000000002</v>
      </c>
      <c r="Q62" s="4">
        <v>1290.3606</v>
      </c>
      <c r="R62" s="4">
        <v>232917.46109999999</v>
      </c>
      <c r="S62" s="4">
        <v>79213.915299999993</v>
      </c>
      <c r="T62" s="4">
        <v>74873.036500000002</v>
      </c>
      <c r="U62" s="4">
        <v>6173.7282999999998</v>
      </c>
      <c r="V62" s="4">
        <v>68699.308199999999</v>
      </c>
      <c r="W62" s="4">
        <v>4340.8788000000004</v>
      </c>
    </row>
    <row r="63" spans="1:23" x14ac:dyDescent="0.2">
      <c r="A63" s="3">
        <v>42979</v>
      </c>
      <c r="B63" s="4">
        <v>315719.2586</v>
      </c>
      <c r="C63" s="4">
        <v>38017.641900000002</v>
      </c>
      <c r="D63" s="4">
        <v>17971.800800000001</v>
      </c>
      <c r="E63" s="4">
        <v>20045.841100000001</v>
      </c>
      <c r="F63" s="5">
        <v>261.2826</v>
      </c>
      <c r="G63" s="4">
        <v>5.6520000000000001</v>
      </c>
      <c r="H63" s="4">
        <v>255.63059999999999</v>
      </c>
      <c r="I63" s="4">
        <v>108214.4463</v>
      </c>
      <c r="J63" s="4">
        <v>92700.907800000001</v>
      </c>
      <c r="K63" s="4">
        <v>6906.3927999999996</v>
      </c>
      <c r="L63" s="4">
        <v>8607.1455999999998</v>
      </c>
      <c r="M63" s="4">
        <v>133615.51139999999</v>
      </c>
      <c r="N63" s="4">
        <v>34241.313300000002</v>
      </c>
      <c r="O63" s="4">
        <v>33825.514499999997</v>
      </c>
      <c r="P63" s="4">
        <v>415.7987</v>
      </c>
      <c r="Q63" s="4">
        <v>1369.0630000000001</v>
      </c>
      <c r="R63" s="4">
        <v>235070.7787</v>
      </c>
      <c r="S63" s="4">
        <v>80648.479900000006</v>
      </c>
      <c r="T63" s="4">
        <v>76349.560599999997</v>
      </c>
      <c r="U63" s="4">
        <v>6131.4363999999996</v>
      </c>
      <c r="V63" s="4">
        <v>70218.124200000006</v>
      </c>
      <c r="W63" s="4">
        <v>4298.9192999999996</v>
      </c>
    </row>
    <row r="64" spans="1:23" x14ac:dyDescent="0.2">
      <c r="A64" s="3">
        <v>43070</v>
      </c>
      <c r="B64" s="4">
        <v>321657.03029999998</v>
      </c>
      <c r="C64" s="4">
        <v>39929.116600000001</v>
      </c>
      <c r="D64" s="4">
        <v>19030.880099999998</v>
      </c>
      <c r="E64" s="4">
        <v>20898.236499999999</v>
      </c>
      <c r="F64" s="5">
        <v>259.98</v>
      </c>
      <c r="G64" s="4">
        <v>8.2149000000000001</v>
      </c>
      <c r="H64" s="4">
        <v>251.76509999999999</v>
      </c>
      <c r="I64" s="4">
        <v>109941.47380000001</v>
      </c>
      <c r="J64" s="4">
        <v>93993.875199999995</v>
      </c>
      <c r="K64" s="4">
        <v>7090.7794999999996</v>
      </c>
      <c r="L64" s="4">
        <v>8856.8191000000006</v>
      </c>
      <c r="M64" s="4">
        <v>135162.58540000001</v>
      </c>
      <c r="N64" s="4">
        <v>34915.828000000001</v>
      </c>
      <c r="O64" s="4">
        <v>34491.116099999999</v>
      </c>
      <c r="P64" s="4">
        <v>424.71190000000001</v>
      </c>
      <c r="Q64" s="4">
        <v>1448.0463999999999</v>
      </c>
      <c r="R64" s="4">
        <v>238406.0796</v>
      </c>
      <c r="S64" s="4">
        <v>83250.950700000001</v>
      </c>
      <c r="T64" s="4">
        <v>78530.861600000004</v>
      </c>
      <c r="U64" s="4">
        <v>6383.9054999999998</v>
      </c>
      <c r="V64" s="4">
        <v>72146.956099999996</v>
      </c>
      <c r="W64" s="4">
        <v>4720.0891000000001</v>
      </c>
    </row>
    <row r="65" spans="1:23" x14ac:dyDescent="0.2">
      <c r="A65" s="3">
        <v>43160</v>
      </c>
      <c r="B65" s="4">
        <v>326773.19050000003</v>
      </c>
      <c r="C65" s="4">
        <v>40421.7834</v>
      </c>
      <c r="D65" s="4">
        <v>19184.111400000002</v>
      </c>
      <c r="E65" s="4">
        <v>21237.671999999999</v>
      </c>
      <c r="F65" s="5">
        <v>285.03070000000002</v>
      </c>
      <c r="G65" s="4">
        <v>7.6215999999999999</v>
      </c>
      <c r="H65" s="4">
        <v>277.40910000000002</v>
      </c>
      <c r="I65" s="4">
        <v>112645.2191</v>
      </c>
      <c r="J65" s="4">
        <v>95873.501000000004</v>
      </c>
      <c r="K65" s="4">
        <v>7640.5231999999996</v>
      </c>
      <c r="L65" s="4">
        <v>9131.1949000000004</v>
      </c>
      <c r="M65" s="4">
        <v>136317.41899999999</v>
      </c>
      <c r="N65" s="4">
        <v>35657.572</v>
      </c>
      <c r="O65" s="4">
        <v>35224.940499999997</v>
      </c>
      <c r="P65" s="4">
        <v>432.63150000000002</v>
      </c>
      <c r="Q65" s="4">
        <v>1446.1664000000001</v>
      </c>
      <c r="R65" s="4">
        <v>241832.47469999999</v>
      </c>
      <c r="S65" s="4">
        <v>84940.715800000005</v>
      </c>
      <c r="T65" s="4">
        <v>80247.693599999999</v>
      </c>
      <c r="U65" s="4">
        <v>6363.8518000000004</v>
      </c>
      <c r="V65" s="4">
        <v>73883.841799999995</v>
      </c>
      <c r="W65" s="4">
        <v>4693.0222000000003</v>
      </c>
    </row>
    <row r="66" spans="1:23" x14ac:dyDescent="0.2">
      <c r="A66" s="3">
        <v>43252</v>
      </c>
      <c r="B66" s="4">
        <v>332819.80499999999</v>
      </c>
      <c r="C66" s="4">
        <v>41616.546999999999</v>
      </c>
      <c r="D66" s="4">
        <v>19623.5059</v>
      </c>
      <c r="E66" s="4">
        <v>21993.041099999999</v>
      </c>
      <c r="F66" s="5">
        <v>307.755</v>
      </c>
      <c r="G66" s="4">
        <v>10.186199999999999</v>
      </c>
      <c r="H66" s="4">
        <v>297.56869999999998</v>
      </c>
      <c r="I66" s="4">
        <v>115361.74800000001</v>
      </c>
      <c r="J66" s="4">
        <v>98085.100399999996</v>
      </c>
      <c r="K66" s="4">
        <v>7612.1527999999998</v>
      </c>
      <c r="L66" s="4">
        <v>9664.4948000000004</v>
      </c>
      <c r="M66" s="4">
        <v>137657.72930000001</v>
      </c>
      <c r="N66" s="4">
        <v>36445.8871</v>
      </c>
      <c r="O66" s="4">
        <v>36007.705099999999</v>
      </c>
      <c r="P66" s="4">
        <v>438.18209999999999</v>
      </c>
      <c r="Q66" s="4">
        <v>1430.1386</v>
      </c>
      <c r="R66" s="4">
        <v>245735.75829999999</v>
      </c>
      <c r="S66" s="4">
        <v>87084.046600000001</v>
      </c>
      <c r="T66" s="4">
        <v>82274.894400000005</v>
      </c>
      <c r="U66" s="4">
        <v>6343.8977000000004</v>
      </c>
      <c r="V66" s="4">
        <v>75930.996700000003</v>
      </c>
      <c r="W66" s="4">
        <v>4809.1522999999997</v>
      </c>
    </row>
    <row r="67" spans="1:23" x14ac:dyDescent="0.2">
      <c r="A67" s="3">
        <v>43344</v>
      </c>
      <c r="B67" s="4">
        <v>340633.1336</v>
      </c>
      <c r="C67" s="4">
        <v>41697.544099999999</v>
      </c>
      <c r="D67" s="4">
        <v>19497.9568</v>
      </c>
      <c r="E67" s="4">
        <v>22199.587299999999</v>
      </c>
      <c r="F67" s="5">
        <v>311.37110000000001</v>
      </c>
      <c r="G67" s="4">
        <v>7.4794</v>
      </c>
      <c r="H67" s="4">
        <v>303.89170000000001</v>
      </c>
      <c r="I67" s="4">
        <v>118529.08990000001</v>
      </c>
      <c r="J67" s="4">
        <v>100325.7401</v>
      </c>
      <c r="K67" s="4">
        <v>8137.4548000000004</v>
      </c>
      <c r="L67" s="4">
        <v>10065.894899999999</v>
      </c>
      <c r="M67" s="4">
        <v>141278.00020000001</v>
      </c>
      <c r="N67" s="4">
        <v>37285.022799999999</v>
      </c>
      <c r="O67" s="4">
        <v>36839.116300000002</v>
      </c>
      <c r="P67" s="4">
        <v>445.90649999999999</v>
      </c>
      <c r="Q67" s="4">
        <v>1532.1056000000001</v>
      </c>
      <c r="R67" s="4">
        <v>251610.57810000001</v>
      </c>
      <c r="S67" s="4">
        <v>89022.555500000002</v>
      </c>
      <c r="T67" s="4">
        <v>84149.875</v>
      </c>
      <c r="U67" s="4">
        <v>6440.1248999999998</v>
      </c>
      <c r="V67" s="4">
        <v>77709.750199999995</v>
      </c>
      <c r="W67" s="4">
        <v>4872.6805000000004</v>
      </c>
    </row>
    <row r="68" spans="1:23" x14ac:dyDescent="0.2">
      <c r="A68" s="3">
        <v>43435</v>
      </c>
      <c r="B68" s="4">
        <v>343646.85479999997</v>
      </c>
      <c r="C68" s="4">
        <v>43348.122900000002</v>
      </c>
      <c r="D68" s="4">
        <v>20432.5527</v>
      </c>
      <c r="E68" s="4">
        <v>22915.570199999998</v>
      </c>
      <c r="F68" s="5">
        <v>316.33949999999999</v>
      </c>
      <c r="G68" s="4">
        <v>7.2103000000000002</v>
      </c>
      <c r="H68" s="4">
        <v>309.12920000000003</v>
      </c>
      <c r="I68" s="4">
        <v>119354.1373</v>
      </c>
      <c r="J68" s="4">
        <v>101948.3354</v>
      </c>
      <c r="K68" s="4">
        <v>7914.7496000000001</v>
      </c>
      <c r="L68" s="4">
        <v>9491.0522999999994</v>
      </c>
      <c r="M68" s="4">
        <v>140892.90299999999</v>
      </c>
      <c r="N68" s="4">
        <v>38070.733099999998</v>
      </c>
      <c r="O68" s="4">
        <v>37605.683199999999</v>
      </c>
      <c r="P68" s="4">
        <v>465.04989999999998</v>
      </c>
      <c r="Q68" s="4">
        <v>1664.6188999999999</v>
      </c>
      <c r="R68" s="4">
        <v>251510.8316</v>
      </c>
      <c r="S68" s="4">
        <v>92136.023199999996</v>
      </c>
      <c r="T68" s="4">
        <v>86823.593699999998</v>
      </c>
      <c r="U68" s="4">
        <v>6779.0316000000003</v>
      </c>
      <c r="V68" s="4">
        <v>80044.562099999996</v>
      </c>
      <c r="W68" s="4">
        <v>5312.4295000000002</v>
      </c>
    </row>
    <row r="69" spans="1:23" x14ac:dyDescent="0.2">
      <c r="A69" s="3">
        <v>43525</v>
      </c>
      <c r="B69" s="4">
        <v>353974.6385</v>
      </c>
      <c r="C69" s="4">
        <v>43641.430800000002</v>
      </c>
      <c r="D69" s="4">
        <v>20520.661</v>
      </c>
      <c r="E69" s="4">
        <v>23120.769799999998</v>
      </c>
      <c r="F69" s="5">
        <v>358.68759999999997</v>
      </c>
      <c r="G69" s="4">
        <v>8.3948</v>
      </c>
      <c r="H69" s="4">
        <v>350.2928</v>
      </c>
      <c r="I69" s="4">
        <v>121069.3423</v>
      </c>
      <c r="J69" s="4">
        <v>102689.0975</v>
      </c>
      <c r="K69" s="4">
        <v>8367.7518</v>
      </c>
      <c r="L69" s="4">
        <v>10012.492899999999</v>
      </c>
      <c r="M69" s="4">
        <v>148589.00219999999</v>
      </c>
      <c r="N69" s="4">
        <v>38771.3747</v>
      </c>
      <c r="O69" s="4">
        <v>38296.011299999998</v>
      </c>
      <c r="P69" s="4">
        <v>475.36340000000001</v>
      </c>
      <c r="Q69" s="4">
        <v>1544.8009</v>
      </c>
      <c r="R69" s="4">
        <v>260090.4988</v>
      </c>
      <c r="S69" s="4">
        <v>93884.139800000004</v>
      </c>
      <c r="T69" s="4">
        <v>88385.466499999995</v>
      </c>
      <c r="U69" s="4">
        <v>6728.9566999999997</v>
      </c>
      <c r="V69" s="4">
        <v>81656.5098</v>
      </c>
      <c r="W69" s="4">
        <v>5498.6733000000004</v>
      </c>
    </row>
    <row r="70" spans="1:23" x14ac:dyDescent="0.2">
      <c r="A70" s="3">
        <v>43617</v>
      </c>
      <c r="B70" s="4">
        <v>364312.69410000002</v>
      </c>
      <c r="C70" s="4">
        <v>44274.3874</v>
      </c>
      <c r="D70" s="4">
        <v>21059.2696</v>
      </c>
      <c r="E70" s="4">
        <v>23215.1178</v>
      </c>
      <c r="F70" s="5">
        <v>353.29489999999998</v>
      </c>
      <c r="G70" s="4">
        <v>4.66</v>
      </c>
      <c r="H70" s="4">
        <v>348.63490000000002</v>
      </c>
      <c r="I70" s="4">
        <v>122284.57490000001</v>
      </c>
      <c r="J70" s="4">
        <v>102800.6186</v>
      </c>
      <c r="K70" s="4">
        <v>8559.8129000000008</v>
      </c>
      <c r="L70" s="4">
        <v>10924.143400000001</v>
      </c>
      <c r="M70" s="4">
        <v>155891.34080000001</v>
      </c>
      <c r="N70" s="4">
        <v>39909.6492</v>
      </c>
      <c r="O70" s="4">
        <v>39423.294699999999</v>
      </c>
      <c r="P70" s="4">
        <v>486.35449999999997</v>
      </c>
      <c r="Q70" s="4">
        <v>1599.4468999999999</v>
      </c>
      <c r="R70" s="4">
        <v>268116.9497</v>
      </c>
      <c r="S70" s="4">
        <v>96195.744399999996</v>
      </c>
      <c r="T70" s="4">
        <v>90597.001099999994</v>
      </c>
      <c r="U70" s="4">
        <v>6693.9678000000004</v>
      </c>
      <c r="V70" s="4">
        <v>83903.033299999996</v>
      </c>
      <c r="W70" s="4">
        <v>5598.7433000000001</v>
      </c>
    </row>
    <row r="71" spans="1:23" x14ac:dyDescent="0.2">
      <c r="A71" s="3">
        <v>43709</v>
      </c>
      <c r="B71" s="4">
        <v>377687.40500000003</v>
      </c>
      <c r="C71" s="4">
        <v>43869.457999999999</v>
      </c>
      <c r="D71" s="4">
        <v>21169.234499999999</v>
      </c>
      <c r="E71" s="4">
        <v>22700.2235</v>
      </c>
      <c r="F71" s="5">
        <v>403.94240000000002</v>
      </c>
      <c r="G71" s="4">
        <v>6.4229000000000003</v>
      </c>
      <c r="H71" s="4">
        <v>397.51949999999999</v>
      </c>
      <c r="I71" s="4">
        <v>126001.1587</v>
      </c>
      <c r="J71" s="4">
        <v>105092.7933</v>
      </c>
      <c r="K71" s="4">
        <v>8692.7625000000007</v>
      </c>
      <c r="L71" s="4">
        <v>12215.6029</v>
      </c>
      <c r="M71" s="4">
        <v>165053.54149999999</v>
      </c>
      <c r="N71" s="4">
        <v>40699.424500000001</v>
      </c>
      <c r="O71" s="4">
        <v>40217.954899999997</v>
      </c>
      <c r="P71" s="4">
        <v>481.46960000000001</v>
      </c>
      <c r="Q71" s="4">
        <v>1659.8798999999999</v>
      </c>
      <c r="R71" s="4">
        <v>279127.56349999999</v>
      </c>
      <c r="S71" s="4">
        <v>98559.8416</v>
      </c>
      <c r="T71" s="4">
        <v>92863.196400000001</v>
      </c>
      <c r="U71" s="4">
        <v>6655.3559999999998</v>
      </c>
      <c r="V71" s="4">
        <v>86207.840299999996</v>
      </c>
      <c r="W71" s="4">
        <v>5696.6451999999999</v>
      </c>
    </row>
    <row r="72" spans="1:23" x14ac:dyDescent="0.2">
      <c r="A72" s="3">
        <v>43800</v>
      </c>
      <c r="B72" s="4">
        <v>386111.30009999999</v>
      </c>
      <c r="C72" s="4">
        <v>46976.939200000001</v>
      </c>
      <c r="D72" s="4">
        <v>23655.5036</v>
      </c>
      <c r="E72" s="4">
        <v>23321.435700000002</v>
      </c>
      <c r="F72" s="5">
        <v>474.79880000000003</v>
      </c>
      <c r="G72" s="4">
        <v>7.4465000000000003</v>
      </c>
      <c r="H72" s="4">
        <v>467.35230000000001</v>
      </c>
      <c r="I72" s="4">
        <v>127203.6747</v>
      </c>
      <c r="J72" s="4">
        <v>106846.39720000001</v>
      </c>
      <c r="K72" s="4">
        <v>9854.8649999999998</v>
      </c>
      <c r="L72" s="4">
        <v>10502.4125</v>
      </c>
      <c r="M72" s="4">
        <v>168020.4375</v>
      </c>
      <c r="N72" s="4">
        <v>41236.3776</v>
      </c>
      <c r="O72" s="4">
        <v>40715.510900000001</v>
      </c>
      <c r="P72" s="4">
        <v>520.86670000000004</v>
      </c>
      <c r="Q72" s="4">
        <v>2199.0722000000001</v>
      </c>
      <c r="R72" s="4">
        <v>286070.6029</v>
      </c>
      <c r="S72" s="4">
        <v>100040.6972</v>
      </c>
      <c r="T72" s="4">
        <v>94088.080499999996</v>
      </c>
      <c r="U72" s="4">
        <v>6751.8752000000004</v>
      </c>
      <c r="V72" s="4">
        <v>87336.205300000001</v>
      </c>
      <c r="W72" s="4">
        <v>5952.6166999999996</v>
      </c>
    </row>
    <row r="73" spans="1:23" x14ac:dyDescent="0.2">
      <c r="A73" s="3">
        <v>43891</v>
      </c>
      <c r="B73" s="4">
        <v>372724.62540000002</v>
      </c>
      <c r="C73" s="4">
        <v>48981.028100000003</v>
      </c>
      <c r="D73" s="4">
        <v>25129.308700000001</v>
      </c>
      <c r="E73" s="4">
        <v>23851.719499999999</v>
      </c>
      <c r="F73" s="5">
        <v>521.91380000000004</v>
      </c>
      <c r="G73" s="4">
        <v>2.1616</v>
      </c>
      <c r="H73" s="4">
        <v>519.75220000000002</v>
      </c>
      <c r="I73" s="4">
        <v>127192.1882</v>
      </c>
      <c r="J73" s="4">
        <v>107490.18829999999</v>
      </c>
      <c r="K73" s="4">
        <v>11641.0103</v>
      </c>
      <c r="L73" s="4">
        <v>8060.9895999999999</v>
      </c>
      <c r="M73" s="4">
        <v>152151.42139999999</v>
      </c>
      <c r="N73" s="4">
        <v>41654.339</v>
      </c>
      <c r="O73" s="4">
        <v>41134.410600000003</v>
      </c>
      <c r="P73" s="4">
        <v>519.92840000000001</v>
      </c>
      <c r="Q73" s="4">
        <v>2223.7348999999999</v>
      </c>
      <c r="R73" s="4">
        <v>271055.88760000002</v>
      </c>
      <c r="S73" s="4">
        <v>101668.7378</v>
      </c>
      <c r="T73" s="4">
        <v>95737.204599999997</v>
      </c>
      <c r="U73" s="4">
        <v>6591.4450999999999</v>
      </c>
      <c r="V73" s="4">
        <v>89145.759600000005</v>
      </c>
      <c r="W73" s="4">
        <v>5931.5331999999999</v>
      </c>
    </row>
    <row r="74" spans="1:23" x14ac:dyDescent="0.2">
      <c r="A74" s="3">
        <v>43983</v>
      </c>
      <c r="B74" s="4">
        <v>395606.16930000001</v>
      </c>
      <c r="C74" s="4">
        <v>52625.525800000003</v>
      </c>
      <c r="D74" s="4">
        <v>28612.211899999998</v>
      </c>
      <c r="E74" s="4">
        <v>24013.313900000001</v>
      </c>
      <c r="F74" s="5">
        <v>559.91340000000002</v>
      </c>
      <c r="G74" s="4">
        <v>3.0398000000000001</v>
      </c>
      <c r="H74" s="4">
        <v>556.87360000000001</v>
      </c>
      <c r="I74" s="4">
        <v>126371.7197</v>
      </c>
      <c r="J74" s="4">
        <v>104769.3126</v>
      </c>
      <c r="K74" s="4">
        <v>12233.2066</v>
      </c>
      <c r="L74" s="4">
        <v>9369.2005000000008</v>
      </c>
      <c r="M74" s="4">
        <v>171660.40229999999</v>
      </c>
      <c r="N74" s="4">
        <v>41970.980900000002</v>
      </c>
      <c r="O74" s="4">
        <v>41480.993199999997</v>
      </c>
      <c r="P74" s="4">
        <v>489.98759999999999</v>
      </c>
      <c r="Q74" s="4">
        <v>2417.6271999999999</v>
      </c>
      <c r="R74" s="4">
        <v>294895.68920000002</v>
      </c>
      <c r="S74" s="4">
        <v>100710.4801</v>
      </c>
      <c r="T74" s="4">
        <v>95346.694699999993</v>
      </c>
      <c r="U74" s="4">
        <v>5671.9699000000001</v>
      </c>
      <c r="V74" s="4">
        <v>89674.724900000001</v>
      </c>
      <c r="W74" s="4">
        <v>5363.7853999999998</v>
      </c>
    </row>
    <row r="75" spans="1:23" x14ac:dyDescent="0.2">
      <c r="A75" s="3">
        <v>44075</v>
      </c>
      <c r="B75" s="4">
        <v>393634.81329999998</v>
      </c>
      <c r="C75" s="4">
        <v>64257.451300000001</v>
      </c>
      <c r="D75" s="4">
        <v>38638.036599999999</v>
      </c>
      <c r="E75" s="4">
        <v>25619.414700000001</v>
      </c>
      <c r="F75" s="5">
        <v>665.3723</v>
      </c>
      <c r="G75" s="4">
        <v>2.5198</v>
      </c>
      <c r="H75" s="4">
        <v>662.85260000000005</v>
      </c>
      <c r="I75" s="4">
        <v>124260.7363</v>
      </c>
      <c r="J75" s="4">
        <v>101984.6817</v>
      </c>
      <c r="K75" s="4">
        <v>12127.536099999999</v>
      </c>
      <c r="L75" s="4">
        <v>10148.5185</v>
      </c>
      <c r="M75" s="4">
        <v>159995.48420000001</v>
      </c>
      <c r="N75" s="4">
        <v>41921.427600000003</v>
      </c>
      <c r="O75" s="4">
        <v>41444.769500000002</v>
      </c>
      <c r="P75" s="4">
        <v>476.65809999999999</v>
      </c>
      <c r="Q75" s="4">
        <v>2534.3415</v>
      </c>
      <c r="R75" s="4">
        <v>293346.82500000001</v>
      </c>
      <c r="S75" s="4">
        <v>100287.9883</v>
      </c>
      <c r="T75" s="4">
        <v>95399.223899999997</v>
      </c>
      <c r="U75" s="4">
        <v>5287.5176000000001</v>
      </c>
      <c r="V75" s="4">
        <v>90111.706300000005</v>
      </c>
      <c r="W75" s="4">
        <v>4888.7644</v>
      </c>
    </row>
    <row r="76" spans="1:23" x14ac:dyDescent="0.2">
      <c r="A76" s="3">
        <v>44166</v>
      </c>
      <c r="B76" s="4">
        <v>399115.96360000002</v>
      </c>
      <c r="C76" s="4">
        <v>69089.319600000003</v>
      </c>
      <c r="D76" s="4">
        <v>43270.573700000001</v>
      </c>
      <c r="E76" s="4">
        <v>25818.745900000002</v>
      </c>
      <c r="F76" s="5">
        <v>700.37249999999995</v>
      </c>
      <c r="G76" s="4">
        <v>2.6922999999999999</v>
      </c>
      <c r="H76" s="4">
        <v>697.68010000000004</v>
      </c>
      <c r="I76" s="4">
        <v>125395.6747</v>
      </c>
      <c r="J76" s="4">
        <v>102683.6249</v>
      </c>
      <c r="K76" s="4">
        <v>11604.6561</v>
      </c>
      <c r="L76" s="4">
        <v>11107.393700000001</v>
      </c>
      <c r="M76" s="4">
        <v>158765.40109999999</v>
      </c>
      <c r="N76" s="4">
        <v>42521.999199999998</v>
      </c>
      <c r="O76" s="4">
        <v>42021.207799999996</v>
      </c>
      <c r="P76" s="4">
        <v>500.79129999999998</v>
      </c>
      <c r="Q76" s="4">
        <v>2643.1966000000002</v>
      </c>
      <c r="R76" s="4">
        <v>297059.41509999998</v>
      </c>
      <c r="S76" s="4">
        <v>102056.5485</v>
      </c>
      <c r="T76" s="4">
        <v>97142.042600000001</v>
      </c>
      <c r="U76" s="4">
        <v>5464.5690000000004</v>
      </c>
      <c r="V76" s="4">
        <v>91677.473700000002</v>
      </c>
      <c r="W76" s="4">
        <v>4914.5059000000001</v>
      </c>
    </row>
    <row r="77" spans="1:23" x14ac:dyDescent="0.2">
      <c r="A77" s="3">
        <v>44256</v>
      </c>
      <c r="B77" s="4">
        <v>405850.47859999997</v>
      </c>
      <c r="C77" s="4">
        <v>69664.715599999996</v>
      </c>
      <c r="D77" s="4">
        <v>42902.769099999998</v>
      </c>
      <c r="E77" s="4">
        <v>26761.946499999998</v>
      </c>
      <c r="F77" s="5">
        <v>772.68949999999995</v>
      </c>
      <c r="G77" s="4">
        <v>4.3879000000000001</v>
      </c>
      <c r="H77" s="4">
        <v>768.30160000000001</v>
      </c>
      <c r="I77" s="4">
        <v>131737.26980000001</v>
      </c>
      <c r="J77" s="4">
        <v>106820.34789999999</v>
      </c>
      <c r="K77" s="4">
        <v>12698.1803</v>
      </c>
      <c r="L77" s="4">
        <v>12218.741599999999</v>
      </c>
      <c r="M77" s="4">
        <v>158200.95079999999</v>
      </c>
      <c r="N77" s="4">
        <v>42910.699099999998</v>
      </c>
      <c r="O77" s="4">
        <v>42405.609299999996</v>
      </c>
      <c r="P77" s="4">
        <v>505.08980000000003</v>
      </c>
      <c r="Q77" s="4">
        <v>2564.1538</v>
      </c>
      <c r="R77" s="4">
        <v>302016.75079999998</v>
      </c>
      <c r="S77" s="4">
        <v>103833.7279</v>
      </c>
      <c r="T77" s="4">
        <v>99061.486499999999</v>
      </c>
      <c r="U77" s="4">
        <v>5402.4259000000002</v>
      </c>
      <c r="V77" s="4">
        <v>93659.060599999997</v>
      </c>
      <c r="W77" s="4">
        <v>4772.2413999999999</v>
      </c>
    </row>
    <row r="78" spans="1:23" x14ac:dyDescent="0.2">
      <c r="A78" s="3">
        <v>44348</v>
      </c>
      <c r="B78" s="4">
        <v>405531.91600000003</v>
      </c>
      <c r="C78" s="4">
        <v>80146.438699999999</v>
      </c>
      <c r="D78" s="4">
        <v>50576.975599999998</v>
      </c>
      <c r="E78" s="4">
        <v>29569.463100000001</v>
      </c>
      <c r="F78" s="5">
        <v>787.87620000000004</v>
      </c>
      <c r="G78" s="4">
        <v>3.9878</v>
      </c>
      <c r="H78" s="4">
        <v>783.88840000000005</v>
      </c>
      <c r="I78" s="4">
        <v>132414.5233</v>
      </c>
      <c r="J78" s="4">
        <v>107679.183</v>
      </c>
      <c r="K78" s="4">
        <v>13168.755999999999</v>
      </c>
      <c r="L78" s="4">
        <v>11566.5843</v>
      </c>
      <c r="M78" s="4">
        <v>146713.34640000001</v>
      </c>
      <c r="N78" s="4">
        <v>42689.734700000001</v>
      </c>
      <c r="O78" s="4">
        <v>42192.363700000002</v>
      </c>
      <c r="P78" s="4">
        <v>497.37099999999998</v>
      </c>
      <c r="Q78" s="4">
        <v>2779.9967000000001</v>
      </c>
      <c r="R78" s="4">
        <v>299300.42509999999</v>
      </c>
      <c r="S78" s="4">
        <v>106231.4909</v>
      </c>
      <c r="T78" s="4">
        <v>101403.1689</v>
      </c>
      <c r="U78" s="4">
        <v>5228.9278999999997</v>
      </c>
      <c r="V78" s="4">
        <v>96174.240900000004</v>
      </c>
      <c r="W78" s="4">
        <v>4828.3220000000001</v>
      </c>
    </row>
    <row r="79" spans="1:23" x14ac:dyDescent="0.2">
      <c r="A79" s="3">
        <v>44440</v>
      </c>
      <c r="B79" s="4">
        <v>412016.61050000001</v>
      </c>
      <c r="C79" s="4">
        <v>82943.853600000002</v>
      </c>
      <c r="D79" s="4">
        <v>50981.803200000002</v>
      </c>
      <c r="E79" s="4">
        <v>31962.050299999999</v>
      </c>
      <c r="F79" s="5">
        <v>937.16859999999997</v>
      </c>
      <c r="G79" s="4">
        <v>1.8294999999999999</v>
      </c>
      <c r="H79" s="4">
        <v>935.33910000000003</v>
      </c>
      <c r="I79" s="4">
        <v>135879.79509999999</v>
      </c>
      <c r="J79" s="4">
        <v>110761.6784</v>
      </c>
      <c r="K79" s="4">
        <v>13353.213</v>
      </c>
      <c r="L79" s="4">
        <v>11764.903700000001</v>
      </c>
      <c r="M79" s="4">
        <v>146044.95170000001</v>
      </c>
      <c r="N79" s="4">
        <v>43360.8802</v>
      </c>
      <c r="O79" s="4">
        <v>42832.012300000002</v>
      </c>
      <c r="P79" s="4">
        <v>528.86789999999996</v>
      </c>
      <c r="Q79" s="4">
        <v>2849.9612999999999</v>
      </c>
      <c r="R79" s="4">
        <v>303032.90120000002</v>
      </c>
      <c r="S79" s="4">
        <v>108983.7093</v>
      </c>
      <c r="T79" s="4">
        <v>103835.0104</v>
      </c>
      <c r="U79" s="4">
        <v>5435.3113000000003</v>
      </c>
      <c r="V79" s="4">
        <v>98399.699099999998</v>
      </c>
      <c r="W79" s="4">
        <v>5148.6989000000003</v>
      </c>
    </row>
    <row r="80" spans="1:23" x14ac:dyDescent="0.2">
      <c r="A80" s="3">
        <v>44531</v>
      </c>
      <c r="B80" s="4">
        <v>426097.14880000002</v>
      </c>
      <c r="C80" s="4">
        <v>84909.120999999999</v>
      </c>
      <c r="D80" s="4">
        <v>50445.325299999997</v>
      </c>
      <c r="E80" s="4">
        <v>34463.795700000002</v>
      </c>
      <c r="F80" s="5">
        <v>1112.9404</v>
      </c>
      <c r="G80" s="4">
        <v>2.4708999999999999</v>
      </c>
      <c r="H80" s="4">
        <v>1110.4694999999999</v>
      </c>
      <c r="I80" s="4">
        <v>141001.6232</v>
      </c>
      <c r="J80" s="4">
        <v>116606.2442</v>
      </c>
      <c r="K80" s="4">
        <v>12122.3549</v>
      </c>
      <c r="L80" s="4">
        <v>12273.024100000001</v>
      </c>
      <c r="M80" s="4">
        <v>151311.25899999999</v>
      </c>
      <c r="N80" s="4">
        <v>44846.533600000002</v>
      </c>
      <c r="O80" s="4">
        <v>44267.044300000001</v>
      </c>
      <c r="P80" s="4">
        <v>579.48929999999996</v>
      </c>
      <c r="Q80" s="4">
        <v>2915.6716999999999</v>
      </c>
      <c r="R80" s="4">
        <v>312653.90519999998</v>
      </c>
      <c r="S80" s="4">
        <v>113443.2436</v>
      </c>
      <c r="T80" s="4">
        <v>107601.25689999999</v>
      </c>
      <c r="U80" s="4">
        <v>6020.6008000000002</v>
      </c>
      <c r="V80" s="4">
        <v>101580.65609999999</v>
      </c>
      <c r="W80" s="4">
        <v>5841.9867000000004</v>
      </c>
    </row>
    <row r="81" spans="1:23" x14ac:dyDescent="0.2">
      <c r="A81" s="3">
        <v>44621</v>
      </c>
      <c r="B81" s="4">
        <v>417418.2623</v>
      </c>
      <c r="C81" s="4">
        <v>81475.649099999995</v>
      </c>
      <c r="D81" s="4">
        <v>44859.594700000001</v>
      </c>
      <c r="E81" s="4">
        <v>36616.054400000001</v>
      </c>
      <c r="F81" s="5">
        <v>1137.6079999999999</v>
      </c>
      <c r="G81" s="4">
        <v>1.4829000000000001</v>
      </c>
      <c r="H81" s="4">
        <v>1136.1251</v>
      </c>
      <c r="I81" s="4">
        <v>140962.364</v>
      </c>
      <c r="J81" s="4">
        <v>118434.2951</v>
      </c>
      <c r="K81" s="4">
        <v>11502.3549</v>
      </c>
      <c r="L81" s="4">
        <v>11025.714</v>
      </c>
      <c r="M81" s="4">
        <v>145137.31700000001</v>
      </c>
      <c r="N81" s="4">
        <v>45732.962200000002</v>
      </c>
      <c r="O81" s="4">
        <v>45120.883800000003</v>
      </c>
      <c r="P81" s="4">
        <v>612.07849999999996</v>
      </c>
      <c r="Q81" s="4">
        <v>2972.3618999999999</v>
      </c>
      <c r="R81" s="4">
        <v>300734.59049999999</v>
      </c>
      <c r="S81" s="4">
        <v>116683.6718</v>
      </c>
      <c r="T81" s="4">
        <v>110458.8554</v>
      </c>
      <c r="U81" s="4">
        <v>6349.6872000000003</v>
      </c>
      <c r="V81" s="4">
        <v>104109.1681</v>
      </c>
      <c r="W81" s="4">
        <v>6224.8163999999997</v>
      </c>
    </row>
    <row r="82" spans="1:23" x14ac:dyDescent="0.2">
      <c r="A82" s="3">
        <v>44713</v>
      </c>
      <c r="B82" s="4">
        <v>434155.14120000001</v>
      </c>
      <c r="C82" s="4">
        <v>81331.010200000004</v>
      </c>
      <c r="D82" s="4">
        <v>41384.377399999998</v>
      </c>
      <c r="E82" s="4">
        <v>39946.632799999999</v>
      </c>
      <c r="F82" s="5">
        <v>1424.2442000000001</v>
      </c>
      <c r="G82" s="4">
        <v>3.9201999999999999</v>
      </c>
      <c r="H82" s="4">
        <v>1420.3240000000001</v>
      </c>
      <c r="I82" s="4">
        <v>147860.78779999999</v>
      </c>
      <c r="J82" s="4">
        <v>123689.2072</v>
      </c>
      <c r="K82" s="4">
        <v>12882.350899999999</v>
      </c>
      <c r="L82" s="4">
        <v>11289.2297</v>
      </c>
      <c r="M82" s="4">
        <v>152510.73079999999</v>
      </c>
      <c r="N82" s="4">
        <v>48033.643100000001</v>
      </c>
      <c r="O82" s="4">
        <v>47386.892899999999</v>
      </c>
      <c r="P82" s="4">
        <v>646.75019999999995</v>
      </c>
      <c r="Q82" s="4">
        <v>2994.7251000000001</v>
      </c>
      <c r="R82" s="4">
        <v>312447.73300000001</v>
      </c>
      <c r="S82" s="4">
        <v>121707.40820000001</v>
      </c>
      <c r="T82" s="4">
        <v>114898.981</v>
      </c>
      <c r="U82" s="4">
        <v>6774.2224999999999</v>
      </c>
      <c r="V82" s="4">
        <v>108124.7585</v>
      </c>
      <c r="W82" s="4">
        <v>6808.4272000000001</v>
      </c>
    </row>
    <row r="83" spans="1:23" x14ac:dyDescent="0.2">
      <c r="A83" s="3">
        <v>44805</v>
      </c>
      <c r="B83" s="4">
        <v>436587.31359999999</v>
      </c>
      <c r="C83" s="4">
        <v>80382.571500000005</v>
      </c>
      <c r="D83" s="4">
        <v>38088.659500000002</v>
      </c>
      <c r="E83" s="4">
        <v>42293.912100000001</v>
      </c>
      <c r="F83" s="5">
        <v>1685.7018</v>
      </c>
      <c r="G83" s="4">
        <v>5.0768000000000004</v>
      </c>
      <c r="H83" s="4">
        <v>1680.625</v>
      </c>
      <c r="I83" s="4">
        <v>150349.7003</v>
      </c>
      <c r="J83" s="4">
        <v>127105.469</v>
      </c>
      <c r="K83" s="4">
        <v>12301.5083</v>
      </c>
      <c r="L83" s="4">
        <v>10942.723</v>
      </c>
      <c r="M83" s="4">
        <v>150979.06580000001</v>
      </c>
      <c r="N83" s="4">
        <v>50078.421300000002</v>
      </c>
      <c r="O83" s="4">
        <v>49390.784599999999</v>
      </c>
      <c r="P83" s="4">
        <v>687.63670000000002</v>
      </c>
      <c r="Q83" s="4">
        <v>3111.8528999999999</v>
      </c>
      <c r="R83" s="4">
        <v>311318.18469999998</v>
      </c>
      <c r="S83" s="4">
        <v>125269.1289</v>
      </c>
      <c r="T83" s="4">
        <v>118385.1743</v>
      </c>
      <c r="U83" s="4">
        <v>6856.6401999999998</v>
      </c>
      <c r="V83" s="4">
        <v>111528.5341</v>
      </c>
      <c r="W83" s="4">
        <v>6883.9546</v>
      </c>
    </row>
    <row r="84" spans="1:23" x14ac:dyDescent="0.2">
      <c r="A84" s="3">
        <v>44896</v>
      </c>
      <c r="B84" s="4">
        <v>445772.75050000002</v>
      </c>
      <c r="C84" s="4">
        <v>79965.290200000003</v>
      </c>
      <c r="D84" s="4">
        <v>35786.195299999999</v>
      </c>
      <c r="E84" s="4">
        <v>44179.094899999996</v>
      </c>
      <c r="F84" s="5">
        <v>1518.4981</v>
      </c>
      <c r="G84" s="4">
        <v>6.1805000000000003</v>
      </c>
      <c r="H84" s="4">
        <v>1512.3176000000001</v>
      </c>
      <c r="I84" s="4">
        <v>150230.6165</v>
      </c>
      <c r="J84" s="4">
        <v>127552.9791</v>
      </c>
      <c r="K84" s="4">
        <v>11799.428099999999</v>
      </c>
      <c r="L84" s="4">
        <v>10878.2093</v>
      </c>
      <c r="M84" s="4">
        <v>159354.78520000001</v>
      </c>
      <c r="N84" s="4">
        <v>51566.979200000002</v>
      </c>
      <c r="O84" s="4">
        <v>50855.4467</v>
      </c>
      <c r="P84" s="4">
        <v>711.53250000000003</v>
      </c>
      <c r="Q84" s="4">
        <v>3136.5814</v>
      </c>
      <c r="R84" s="4">
        <v>316462.17479999998</v>
      </c>
      <c r="S84" s="4">
        <v>129310.5757</v>
      </c>
      <c r="T84" s="4">
        <v>122107.8783</v>
      </c>
      <c r="U84" s="4">
        <v>7621.7255999999998</v>
      </c>
      <c r="V84" s="4">
        <v>114486.15270000001</v>
      </c>
      <c r="W84" s="4">
        <v>7202.6974</v>
      </c>
    </row>
    <row r="85" spans="1:23" x14ac:dyDescent="0.2">
      <c r="A85" s="3">
        <v>44986</v>
      </c>
      <c r="B85" s="4">
        <v>446437.89010000002</v>
      </c>
      <c r="C85" s="4">
        <v>80880.687000000005</v>
      </c>
      <c r="D85" s="4">
        <v>34025.339899999999</v>
      </c>
      <c r="E85" s="4">
        <v>46855.347199999997</v>
      </c>
      <c r="F85" s="5">
        <v>1418.9951000000001</v>
      </c>
      <c r="G85" s="4">
        <v>8.8994999999999997</v>
      </c>
      <c r="H85" s="4">
        <v>1410.0956000000001</v>
      </c>
      <c r="I85" s="4">
        <v>149274.20939999999</v>
      </c>
      <c r="J85" s="4">
        <v>127484.6678</v>
      </c>
      <c r="K85" s="4">
        <v>10933.777599999999</v>
      </c>
      <c r="L85" s="4">
        <v>10855.763999999999</v>
      </c>
      <c r="M85" s="4">
        <v>159041.6974</v>
      </c>
      <c r="N85" s="4">
        <v>52692.451000000001</v>
      </c>
      <c r="O85" s="4">
        <v>51986.729200000002</v>
      </c>
      <c r="P85" s="4">
        <v>705.72180000000003</v>
      </c>
      <c r="Q85" s="4">
        <v>3129.8501999999999</v>
      </c>
      <c r="R85" s="4">
        <v>314793.22560000001</v>
      </c>
      <c r="S85" s="4">
        <v>131644.66450000001</v>
      </c>
      <c r="T85" s="4">
        <v>124690.8466</v>
      </c>
      <c r="U85" s="4">
        <v>7885.5142999999998</v>
      </c>
      <c r="V85" s="4">
        <v>116805.3322</v>
      </c>
      <c r="W85" s="4">
        <v>6953.8179</v>
      </c>
    </row>
    <row r="86" spans="1:23" x14ac:dyDescent="0.2">
      <c r="A86" s="3">
        <v>45078</v>
      </c>
      <c r="B86" s="4">
        <v>454835.0515</v>
      </c>
      <c r="C86" s="4">
        <v>82084.800900000002</v>
      </c>
      <c r="D86" s="4">
        <v>32968.482100000001</v>
      </c>
      <c r="E86" s="4">
        <v>49116.318800000001</v>
      </c>
      <c r="F86" s="5">
        <v>1459.8746000000001</v>
      </c>
      <c r="G86" s="4">
        <v>16.373899999999999</v>
      </c>
      <c r="H86" s="4">
        <v>1443.5007000000001</v>
      </c>
      <c r="I86" s="4">
        <v>150932.81719999999</v>
      </c>
      <c r="J86" s="4">
        <v>128968.7862</v>
      </c>
      <c r="K86" s="4">
        <v>11025.1458</v>
      </c>
      <c r="L86" s="4">
        <v>10938.885200000001</v>
      </c>
      <c r="M86" s="4">
        <v>162555.73989999999</v>
      </c>
      <c r="N86" s="4">
        <v>54087.176899999999</v>
      </c>
      <c r="O86" s="4">
        <v>53388.3891</v>
      </c>
      <c r="P86" s="4">
        <v>698.78779999999995</v>
      </c>
      <c r="Q86" s="4">
        <v>3714.6421</v>
      </c>
      <c r="R86" s="4">
        <v>321288.98550000001</v>
      </c>
      <c r="S86" s="4">
        <v>133546.06599999999</v>
      </c>
      <c r="T86" s="4">
        <v>126697.7496</v>
      </c>
      <c r="U86" s="4">
        <v>8044.8566000000001</v>
      </c>
      <c r="V86" s="4">
        <v>118652.89290000001</v>
      </c>
      <c r="W86" s="4">
        <v>6848.3163999999997</v>
      </c>
    </row>
    <row r="87" spans="1:23" x14ac:dyDescent="0.2">
      <c r="A87" s="3">
        <v>45170</v>
      </c>
      <c r="B87" s="4">
        <v>462456.74699999997</v>
      </c>
      <c r="C87" s="4">
        <v>81977.528900000005</v>
      </c>
      <c r="D87" s="4">
        <v>33213.5268</v>
      </c>
      <c r="E87" s="4">
        <v>48764.002099999998</v>
      </c>
      <c r="F87" s="5">
        <v>1676.5926999999999</v>
      </c>
      <c r="G87" s="4">
        <v>30.586600000000001</v>
      </c>
      <c r="H87" s="4">
        <v>1646.0062</v>
      </c>
      <c r="I87" s="4">
        <v>156838.88769999999</v>
      </c>
      <c r="J87" s="4">
        <v>133674.95509999999</v>
      </c>
      <c r="K87" s="4">
        <v>11870.584000000001</v>
      </c>
      <c r="L87" s="4">
        <v>11293.348599999999</v>
      </c>
      <c r="M87" s="4">
        <v>163350.45759999999</v>
      </c>
      <c r="N87" s="4">
        <v>54853.108699999997</v>
      </c>
      <c r="O87" s="4">
        <v>54133.804400000001</v>
      </c>
      <c r="P87" s="4">
        <v>719.30430000000001</v>
      </c>
      <c r="Q87" s="4">
        <v>3760.1714999999999</v>
      </c>
      <c r="R87" s="4">
        <v>327712.69640000002</v>
      </c>
      <c r="S87" s="4">
        <v>134744.05059999999</v>
      </c>
      <c r="T87" s="4">
        <v>128083.2249</v>
      </c>
      <c r="U87" s="4">
        <v>7926.7115000000003</v>
      </c>
      <c r="V87" s="4">
        <v>120156.5134</v>
      </c>
      <c r="W87" s="4">
        <v>6660.8257999999996</v>
      </c>
    </row>
    <row r="88" spans="1:23" x14ac:dyDescent="0.2">
      <c r="A88" s="3">
        <v>45261</v>
      </c>
      <c r="B88" s="4">
        <v>479084.54440000001</v>
      </c>
      <c r="C88" s="4">
        <v>82482.017999999996</v>
      </c>
      <c r="D88" s="4">
        <v>33881.399700000002</v>
      </c>
      <c r="E88" s="4">
        <v>48600.618300000002</v>
      </c>
      <c r="F88" s="5">
        <v>1614.9703999999999</v>
      </c>
      <c r="G88" s="4">
        <v>12.603999999999999</v>
      </c>
      <c r="H88" s="4">
        <v>1602.3664000000001</v>
      </c>
      <c r="I88" s="4">
        <v>158882.1159</v>
      </c>
      <c r="J88" s="4">
        <v>134649.52309999999</v>
      </c>
      <c r="K88" s="4">
        <v>11726.609</v>
      </c>
      <c r="L88" s="4">
        <v>12505.9838</v>
      </c>
      <c r="M88" s="4">
        <v>175901.0399</v>
      </c>
      <c r="N88" s="4">
        <v>56370.520900000003</v>
      </c>
      <c r="O88" s="4">
        <v>55644.804799999998</v>
      </c>
      <c r="P88" s="4">
        <v>725.71609999999998</v>
      </c>
      <c r="Q88" s="4">
        <v>3833.8793000000001</v>
      </c>
      <c r="R88" s="4">
        <v>341550.63829999999</v>
      </c>
      <c r="S88" s="4">
        <v>137533.90609999999</v>
      </c>
      <c r="T88" s="4">
        <v>130624.0295</v>
      </c>
      <c r="U88" s="4">
        <v>8423.3925999999992</v>
      </c>
      <c r="V88" s="4">
        <v>122200.637</v>
      </c>
      <c r="W88" s="4">
        <v>6909.8765999999996</v>
      </c>
    </row>
    <row r="89" spans="1:23" x14ac:dyDescent="0.2">
      <c r="A89" s="3">
        <v>45352</v>
      </c>
      <c r="B89" s="4">
        <v>499492.83049999998</v>
      </c>
      <c r="C89" s="4">
        <v>83214.2552</v>
      </c>
      <c r="D89" s="4">
        <v>34615.927000000003</v>
      </c>
      <c r="E89" s="4">
        <v>48598.328200000004</v>
      </c>
      <c r="F89" s="5">
        <v>1832.1659</v>
      </c>
      <c r="G89" s="4">
        <v>4.8311000000000002</v>
      </c>
      <c r="H89" s="4">
        <v>1827.3348000000001</v>
      </c>
      <c r="I89" s="4">
        <v>166753.43580000001</v>
      </c>
      <c r="J89" s="4">
        <v>138975.4368</v>
      </c>
      <c r="K89" s="4">
        <v>13437.286899999999</v>
      </c>
      <c r="L89" s="4">
        <v>14340.7122</v>
      </c>
      <c r="M89" s="4">
        <v>186216.00150000001</v>
      </c>
      <c r="N89" s="4">
        <v>57632.754800000002</v>
      </c>
      <c r="O89" s="4">
        <v>56893.507700000002</v>
      </c>
      <c r="P89" s="4">
        <v>739.24710000000005</v>
      </c>
      <c r="Q89" s="4">
        <v>3844.2172</v>
      </c>
      <c r="R89" s="4">
        <v>359928.81890000001</v>
      </c>
      <c r="S89" s="4">
        <v>139564.0116</v>
      </c>
      <c r="T89" s="4">
        <v>132718.57629999999</v>
      </c>
      <c r="U89" s="4">
        <v>8532.7337000000007</v>
      </c>
      <c r="V89" s="4">
        <v>124185.8426</v>
      </c>
      <c r="W89" s="4">
        <v>6845.4353000000001</v>
      </c>
    </row>
    <row r="90" spans="1:23" x14ac:dyDescent="0.2">
      <c r="A90" s="3">
        <v>45444</v>
      </c>
      <c r="B90" s="4">
        <v>499541.69309999997</v>
      </c>
      <c r="C90" s="4">
        <v>81699.220499999996</v>
      </c>
      <c r="D90" s="4">
        <v>33667.004300000001</v>
      </c>
      <c r="E90" s="4">
        <v>48032.216200000003</v>
      </c>
      <c r="F90" s="5">
        <v>1732.1373000000001</v>
      </c>
      <c r="G90" s="4">
        <v>5.2938000000000001</v>
      </c>
      <c r="H90" s="4">
        <v>1726.8434999999999</v>
      </c>
      <c r="I90" s="4">
        <v>169914.0675</v>
      </c>
      <c r="J90" s="4">
        <v>140262.79269999999</v>
      </c>
      <c r="K90" s="4">
        <v>14497.049300000001</v>
      </c>
      <c r="L90" s="4">
        <v>15154.2256</v>
      </c>
      <c r="M90" s="4">
        <v>183293.84270000001</v>
      </c>
      <c r="N90" s="4">
        <v>58935.555899999999</v>
      </c>
      <c r="O90" s="4">
        <v>58206.693299999999</v>
      </c>
      <c r="P90" s="4">
        <v>728.86249999999995</v>
      </c>
      <c r="Q90" s="4">
        <v>3966.8692999999998</v>
      </c>
      <c r="R90" s="4">
        <v>357834.25559999997</v>
      </c>
      <c r="S90" s="4">
        <v>141707.4375</v>
      </c>
      <c r="T90" s="4">
        <v>134821.4877</v>
      </c>
      <c r="U90" s="4">
        <v>8545.5303999999996</v>
      </c>
      <c r="V90" s="4">
        <v>126275.9572</v>
      </c>
      <c r="W90" s="4">
        <v>6885.9498999999996</v>
      </c>
    </row>
    <row r="91" spans="1:23" x14ac:dyDescent="0.2">
      <c r="A91" s="3">
        <v>45536</v>
      </c>
      <c r="B91" s="4">
        <v>516432.28129999997</v>
      </c>
      <c r="C91" s="4">
        <v>80612.739400000006</v>
      </c>
      <c r="D91" s="4">
        <v>33672.406000000003</v>
      </c>
      <c r="E91" s="4">
        <v>46940.333400000003</v>
      </c>
      <c r="F91" s="5">
        <v>1630.0228</v>
      </c>
      <c r="G91" s="4">
        <v>3.8315000000000001</v>
      </c>
      <c r="H91" s="4">
        <v>1626.1913</v>
      </c>
      <c r="I91" s="4">
        <v>172791.21230000001</v>
      </c>
      <c r="J91" s="4">
        <v>140459.15489999999</v>
      </c>
      <c r="K91" s="4">
        <v>14932.339900000001</v>
      </c>
      <c r="L91" s="4">
        <v>17399.717499999999</v>
      </c>
      <c r="M91" s="4">
        <v>197553.66190000001</v>
      </c>
      <c r="N91" s="4">
        <v>59624.602500000001</v>
      </c>
      <c r="O91" s="4">
        <v>58882.204700000002</v>
      </c>
      <c r="P91" s="4">
        <v>742.39790000000005</v>
      </c>
      <c r="Q91" s="4">
        <v>4220.0424000000003</v>
      </c>
      <c r="R91" s="4">
        <v>372797.57030000002</v>
      </c>
      <c r="S91" s="4">
        <v>143634.71100000001</v>
      </c>
      <c r="T91" s="4">
        <v>136623.3561</v>
      </c>
      <c r="U91" s="4">
        <v>8437.8065000000006</v>
      </c>
      <c r="V91" s="4">
        <v>128185.5497</v>
      </c>
      <c r="W91" s="4">
        <v>7011.3549000000003</v>
      </c>
    </row>
    <row r="92" spans="1:23" x14ac:dyDescent="0.2">
      <c r="A92" s="3">
        <v>45627</v>
      </c>
      <c r="B92" s="4">
        <v>522186.61180000001</v>
      </c>
      <c r="C92" s="4">
        <v>81481.308099999995</v>
      </c>
      <c r="D92" s="4">
        <v>35057.879500000003</v>
      </c>
      <c r="E92" s="4">
        <v>46423.428599999999</v>
      </c>
      <c r="F92" s="5">
        <v>1802.1677</v>
      </c>
      <c r="G92" s="4">
        <v>59.910299999999999</v>
      </c>
      <c r="H92" s="4">
        <v>1742.2573</v>
      </c>
      <c r="I92" s="4">
        <v>177986.28630000001</v>
      </c>
      <c r="J92" s="4">
        <v>145291.68520000001</v>
      </c>
      <c r="K92" s="4">
        <v>14321.0586</v>
      </c>
      <c r="L92" s="4">
        <v>18373.542399999998</v>
      </c>
      <c r="M92" s="4">
        <v>195427.9019</v>
      </c>
      <c r="N92" s="4">
        <v>61219.5363</v>
      </c>
      <c r="O92" s="4">
        <v>60455.3943</v>
      </c>
      <c r="P92" s="4">
        <v>764.14200000000005</v>
      </c>
      <c r="Q92" s="4">
        <v>4269.4115000000002</v>
      </c>
      <c r="R92" s="4">
        <v>375234.90909999999</v>
      </c>
      <c r="S92" s="4">
        <v>146951.70269999999</v>
      </c>
      <c r="T92" s="4">
        <v>139630.02919999999</v>
      </c>
      <c r="U92" s="4">
        <v>9051.4537999999993</v>
      </c>
      <c r="V92" s="4">
        <v>130578.5754</v>
      </c>
      <c r="W92" s="4">
        <v>7321.6734999999999</v>
      </c>
    </row>
    <row r="93" spans="1:23" x14ac:dyDescent="0.2">
      <c r="A93" s="3">
        <v>45717</v>
      </c>
      <c r="B93" s="4">
        <v>530527.80530000001</v>
      </c>
      <c r="C93" s="4">
        <v>81876.552200000006</v>
      </c>
      <c r="D93" s="4">
        <v>35027.686600000001</v>
      </c>
      <c r="E93" s="4">
        <v>46848.865599999997</v>
      </c>
      <c r="F93" s="5">
        <v>1677.0661</v>
      </c>
      <c r="G93" s="4">
        <v>4.8316999999999997</v>
      </c>
      <c r="H93" s="4">
        <v>1672.2344000000001</v>
      </c>
      <c r="I93" s="4">
        <v>180510.5441</v>
      </c>
      <c r="J93" s="4">
        <v>146351.83429999999</v>
      </c>
      <c r="K93" s="4">
        <v>15172.0615</v>
      </c>
      <c r="L93" s="4">
        <v>18986.648300000001</v>
      </c>
      <c r="M93" s="4">
        <v>199694.7298</v>
      </c>
      <c r="N93" s="4">
        <v>62710.337899999999</v>
      </c>
      <c r="O93" s="4">
        <v>61938.702499999999</v>
      </c>
      <c r="P93" s="4">
        <v>771.63549999999998</v>
      </c>
      <c r="Q93" s="4">
        <v>4058.5751</v>
      </c>
      <c r="R93" s="4">
        <v>380167.35989999998</v>
      </c>
      <c r="S93" s="4">
        <v>150360.44529999999</v>
      </c>
      <c r="T93" s="4">
        <v>142838.28820000001</v>
      </c>
      <c r="U93" s="4">
        <v>9124.0715999999993</v>
      </c>
      <c r="V93" s="4">
        <v>133714.21660000001</v>
      </c>
      <c r="W93" s="4">
        <v>7522.1571000000004</v>
      </c>
    </row>
    <row r="94" spans="1:23" x14ac:dyDescent="0.2">
      <c r="A94" s="3">
        <v>45809</v>
      </c>
      <c r="B94" s="4">
        <v>546967.61719999998</v>
      </c>
      <c r="C94" s="4">
        <v>82158.901899999997</v>
      </c>
      <c r="D94" s="4">
        <v>34489.8678</v>
      </c>
      <c r="E94" s="4">
        <v>47669.034200000002</v>
      </c>
      <c r="F94" s="5">
        <v>1678.5723</v>
      </c>
      <c r="G94" s="4">
        <v>2.9318</v>
      </c>
      <c r="H94" s="4">
        <v>1675.6405</v>
      </c>
      <c r="I94" s="4">
        <v>184388.36420000001</v>
      </c>
      <c r="J94" s="4">
        <v>148339.39000000001</v>
      </c>
      <c r="K94" s="4">
        <v>15814.942499999999</v>
      </c>
      <c r="L94" s="4">
        <v>20234.0317</v>
      </c>
      <c r="M94" s="4">
        <v>210202.92860000001</v>
      </c>
      <c r="N94" s="4">
        <v>64436.584000000003</v>
      </c>
      <c r="O94" s="4">
        <v>63658.647400000002</v>
      </c>
      <c r="P94" s="4">
        <v>777.9366</v>
      </c>
      <c r="Q94" s="4">
        <v>4102.2662</v>
      </c>
      <c r="R94" s="4">
        <v>394339.98670000001</v>
      </c>
      <c r="S94" s="4">
        <v>152627.6306</v>
      </c>
      <c r="T94" s="4">
        <v>144969.29019999999</v>
      </c>
      <c r="U94" s="4">
        <v>9111.8868000000002</v>
      </c>
      <c r="V94" s="4">
        <v>135857.40330000001</v>
      </c>
      <c r="W94" s="4">
        <v>7658.3404</v>
      </c>
    </row>
    <row r="95" spans="1:23" x14ac:dyDescent="0.2">
      <c r="A95" s="3">
        <v>45901</v>
      </c>
      <c r="B95" s="4">
        <v>568025.51870000002</v>
      </c>
      <c r="C95" s="4">
        <v>82762.684099999999</v>
      </c>
      <c r="D95" s="4">
        <v>34912.7258</v>
      </c>
      <c r="E95" s="4">
        <v>47849.958299999998</v>
      </c>
      <c r="F95" s="5">
        <v>1719.2253000000001</v>
      </c>
      <c r="G95" s="4">
        <v>1.786</v>
      </c>
      <c r="H95" s="4">
        <v>1717.4393</v>
      </c>
      <c r="I95" s="4">
        <v>188939.30739999999</v>
      </c>
      <c r="J95" s="4">
        <v>151641.81469999999</v>
      </c>
      <c r="K95" s="4">
        <v>15154.775799999999</v>
      </c>
      <c r="L95" s="4">
        <v>22142.716899999999</v>
      </c>
      <c r="M95" s="4">
        <v>225007.21739999999</v>
      </c>
      <c r="N95" s="4">
        <v>65534.894699999997</v>
      </c>
      <c r="O95" s="4">
        <v>64770.683900000004</v>
      </c>
      <c r="P95" s="4">
        <v>764.21090000000004</v>
      </c>
      <c r="Q95" s="4">
        <v>4062.1898000000001</v>
      </c>
      <c r="R95" s="4">
        <v>413543.81290000002</v>
      </c>
      <c r="S95" s="4">
        <v>154481.7058</v>
      </c>
      <c r="T95" s="4">
        <v>146542.48499999999</v>
      </c>
      <c r="U95" s="4">
        <v>9144.6939999999995</v>
      </c>
      <c r="V95" s="4">
        <v>137397.791</v>
      </c>
      <c r="W95" s="4">
        <v>7939.2209000000003</v>
      </c>
    </row>
  </sheetData>
  <mergeCells count="2">
    <mergeCell ref="A1:W1"/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B636-E3BC-1C4B-A4B2-84D11A78B2E7}">
  <sheetPr>
    <tabColor theme="9"/>
  </sheetPr>
  <dimension ref="A1:AH95"/>
  <sheetViews>
    <sheetView topLeftCell="B1" workbookViewId="0">
      <selection activeCell="D2" sqref="D2"/>
    </sheetView>
  </sheetViews>
  <sheetFormatPr baseColWidth="10" defaultRowHeight="16" x14ac:dyDescent="0.2"/>
  <sheetData>
    <row r="1" spans="1:34" x14ac:dyDescent="0.2">
      <c r="A1" s="7" t="s">
        <v>145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  <c r="AH1" s="7" t="s">
        <v>1</v>
      </c>
    </row>
    <row r="2" spans="1:34" x14ac:dyDescent="0.2">
      <c r="A2" s="8" t="s">
        <v>161</v>
      </c>
      <c r="B2" s="8"/>
      <c r="C2" t="s">
        <v>162</v>
      </c>
      <c r="D2" s="1">
        <f>B5-I5-N5-Q5</f>
        <v>28798.00060000001</v>
      </c>
      <c r="E2" s="1">
        <f>C5+F5+J5+O5+P5</f>
        <v>28798.000700000001</v>
      </c>
      <c r="F2" t="s">
        <v>163</v>
      </c>
      <c r="G2" s="1">
        <f>S5-T5-AE5-AH5</f>
        <v>26311.821199999998</v>
      </c>
      <c r="H2" s="1">
        <f>U5+X5+AA5+AF5+AG5</f>
        <v>26311.821200000002</v>
      </c>
    </row>
    <row r="3" spans="1:34" ht="13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121</v>
      </c>
      <c r="R3" s="2" t="s">
        <v>39</v>
      </c>
      <c r="S3" s="2" t="s">
        <v>22</v>
      </c>
      <c r="T3" s="2" t="s">
        <v>146</v>
      </c>
      <c r="U3" s="2" t="s">
        <v>147</v>
      </c>
      <c r="V3" s="2" t="s">
        <v>148</v>
      </c>
      <c r="W3" s="2" t="s">
        <v>149</v>
      </c>
      <c r="X3" s="2" t="s">
        <v>150</v>
      </c>
      <c r="Y3" s="2" t="s">
        <v>151</v>
      </c>
      <c r="Z3" s="2" t="s">
        <v>152</v>
      </c>
      <c r="AA3" s="2" t="s">
        <v>153</v>
      </c>
      <c r="AB3" s="2" t="s">
        <v>154</v>
      </c>
      <c r="AC3" s="2" t="s">
        <v>155</v>
      </c>
      <c r="AD3" s="2" t="s">
        <v>156</v>
      </c>
      <c r="AE3" s="2" t="s">
        <v>157</v>
      </c>
      <c r="AF3" s="2" t="s">
        <v>158</v>
      </c>
      <c r="AG3" s="2" t="s">
        <v>159</v>
      </c>
      <c r="AH3" s="2" t="s">
        <v>160</v>
      </c>
    </row>
    <row r="4" spans="1:34" x14ac:dyDescent="0.2">
      <c r="A4" s="3">
        <v>37591</v>
      </c>
      <c r="B4" s="4">
        <v>65246.874799999998</v>
      </c>
      <c r="C4" s="4">
        <v>211.88550000000001</v>
      </c>
      <c r="D4" s="4">
        <v>155.30719999999999</v>
      </c>
      <c r="E4" s="4">
        <v>56.578299999999999</v>
      </c>
      <c r="F4" s="5">
        <v>6128.7619000000004</v>
      </c>
      <c r="G4" s="4">
        <v>0</v>
      </c>
      <c r="H4" s="4">
        <v>6128.7619000000004</v>
      </c>
      <c r="I4" s="4">
        <v>-119.2799</v>
      </c>
      <c r="J4" s="5">
        <v>20778.398099999999</v>
      </c>
      <c r="K4" s="4">
        <v>1017.4032</v>
      </c>
      <c r="L4" s="4">
        <v>19760.994900000002</v>
      </c>
      <c r="M4" s="4">
        <v>34219.963799999998</v>
      </c>
      <c r="N4" s="4">
        <v>34016.634400000003</v>
      </c>
      <c r="O4" s="4">
        <v>115.3078</v>
      </c>
      <c r="P4" s="4">
        <v>88.021600000000007</v>
      </c>
      <c r="Q4" s="4">
        <v>4027.1453999999999</v>
      </c>
      <c r="R4" s="4">
        <v>22704.6672</v>
      </c>
      <c r="S4" s="4">
        <v>42542.207600000002</v>
      </c>
      <c r="T4" s="4">
        <v>27.630400000000002</v>
      </c>
      <c r="U4" s="4">
        <v>12983.382</v>
      </c>
      <c r="V4" s="4">
        <v>812.31610000000001</v>
      </c>
      <c r="W4" s="4">
        <v>12171.0659</v>
      </c>
      <c r="X4" s="4">
        <v>7015.5306</v>
      </c>
      <c r="Y4" s="4">
        <v>116.3742</v>
      </c>
      <c r="Z4" s="4">
        <v>6899.1563999999998</v>
      </c>
      <c r="AA4" s="4">
        <v>1550.7826</v>
      </c>
      <c r="AB4" s="4">
        <v>363.1302</v>
      </c>
      <c r="AC4" s="4">
        <v>1187.6524999999999</v>
      </c>
      <c r="AD4" s="4">
        <v>19201.456600000001</v>
      </c>
      <c r="AE4" s="4">
        <v>16062.936900000001</v>
      </c>
      <c r="AF4" s="4">
        <v>24.180499999999999</v>
      </c>
      <c r="AG4" s="4">
        <v>3114.33925589</v>
      </c>
      <c r="AH4" s="4">
        <v>1763.4255000000001</v>
      </c>
    </row>
    <row r="5" spans="1:34" x14ac:dyDescent="0.2">
      <c r="A5" s="3">
        <v>37681</v>
      </c>
      <c r="B5" s="4">
        <v>68452.379100000006</v>
      </c>
      <c r="C5" s="4">
        <v>220.63489999999999</v>
      </c>
      <c r="D5" s="4">
        <v>162.7165</v>
      </c>
      <c r="E5" s="4">
        <v>57.918399999999998</v>
      </c>
      <c r="F5" s="5">
        <v>7037.6090000000004</v>
      </c>
      <c r="G5" s="4">
        <v>0</v>
      </c>
      <c r="H5" s="4">
        <v>7037.6090000000004</v>
      </c>
      <c r="I5" s="4">
        <v>-132.95509999999999</v>
      </c>
      <c r="J5" s="5">
        <v>21374.524799999999</v>
      </c>
      <c r="K5" s="4">
        <v>1135.7483999999999</v>
      </c>
      <c r="L5" s="4">
        <v>20238.776399999999</v>
      </c>
      <c r="M5" s="4">
        <v>35888.822899999999</v>
      </c>
      <c r="N5" s="4">
        <v>35723.590900000003</v>
      </c>
      <c r="O5" s="4">
        <v>76.752799999999993</v>
      </c>
      <c r="P5" s="4">
        <v>88.479200000000006</v>
      </c>
      <c r="Q5" s="4">
        <v>4063.7426999999998</v>
      </c>
      <c r="R5" s="4">
        <v>23411.339800000002</v>
      </c>
      <c r="S5" s="4">
        <v>45041.039299999997</v>
      </c>
      <c r="T5" s="4">
        <v>29.743200000000002</v>
      </c>
      <c r="U5" s="4">
        <v>14019.097400000001</v>
      </c>
      <c r="V5" s="4">
        <v>1636.2123999999999</v>
      </c>
      <c r="W5" s="4">
        <v>12382.885</v>
      </c>
      <c r="X5" s="4">
        <v>7314.5460000000003</v>
      </c>
      <c r="Y5" s="4">
        <v>132.13759999999999</v>
      </c>
      <c r="Z5" s="4">
        <v>7182.4084000000003</v>
      </c>
      <c r="AA5" s="4">
        <v>1679.5463</v>
      </c>
      <c r="AB5" s="4">
        <v>286.61219999999997</v>
      </c>
      <c r="AC5" s="4">
        <v>1392.9340999999999</v>
      </c>
      <c r="AD5" s="4">
        <v>19967.186900000001</v>
      </c>
      <c r="AE5" s="4">
        <v>16668.555400000001</v>
      </c>
      <c r="AF5" s="4">
        <v>20.529299999999999</v>
      </c>
      <c r="AG5" s="4">
        <v>3278.1021999999998</v>
      </c>
      <c r="AH5" s="4">
        <v>2030.9195</v>
      </c>
    </row>
    <row r="6" spans="1:34" x14ac:dyDescent="0.2">
      <c r="A6" s="3">
        <v>37773</v>
      </c>
      <c r="B6" s="4">
        <v>66449.454400000002</v>
      </c>
      <c r="C6" s="4">
        <v>219.5523</v>
      </c>
      <c r="D6" s="4">
        <v>174.86670000000001</v>
      </c>
      <c r="E6" s="4">
        <v>44.685600000000001</v>
      </c>
      <c r="F6" s="5">
        <v>6850.1468000000004</v>
      </c>
      <c r="G6" s="4">
        <v>0</v>
      </c>
      <c r="H6" s="4">
        <v>6850.1468000000004</v>
      </c>
      <c r="I6" s="4">
        <v>-143.9265</v>
      </c>
      <c r="J6" s="5">
        <v>19958.172299999998</v>
      </c>
      <c r="K6" s="4">
        <v>1044.1601000000001</v>
      </c>
      <c r="L6" s="4">
        <v>18914.012200000001</v>
      </c>
      <c r="M6" s="4">
        <v>35711.211799999997</v>
      </c>
      <c r="N6" s="4">
        <v>35518.536800000002</v>
      </c>
      <c r="O6" s="4">
        <v>100.08540000000001</v>
      </c>
      <c r="P6" s="4">
        <v>92.589500000000001</v>
      </c>
      <c r="Q6" s="4">
        <v>3854.2977000000001</v>
      </c>
      <c r="R6" s="4">
        <v>21926.4908</v>
      </c>
      <c r="S6" s="4">
        <v>44522.9637</v>
      </c>
      <c r="T6" s="4">
        <v>29.912600000000001</v>
      </c>
      <c r="U6" s="4">
        <v>13410.7889</v>
      </c>
      <c r="V6" s="4">
        <v>2389.6066999999998</v>
      </c>
      <c r="W6" s="4">
        <v>11021.182199999999</v>
      </c>
      <c r="X6" s="4">
        <v>6771.7803000000004</v>
      </c>
      <c r="Y6" s="4">
        <v>107.64579999999999</v>
      </c>
      <c r="Z6" s="4">
        <v>6664.1345000000001</v>
      </c>
      <c r="AA6" s="4">
        <v>1662.8478</v>
      </c>
      <c r="AB6" s="4">
        <v>320.17399999999998</v>
      </c>
      <c r="AC6" s="4">
        <v>1342.6738</v>
      </c>
      <c r="AD6" s="4">
        <v>20401.961200000002</v>
      </c>
      <c r="AE6" s="4">
        <v>16082.2796</v>
      </c>
      <c r="AF6" s="4">
        <v>23.693100000000001</v>
      </c>
      <c r="AG6" s="4">
        <v>4295.9885999999997</v>
      </c>
      <c r="AH6" s="4">
        <v>2245.6727999999998</v>
      </c>
    </row>
    <row r="7" spans="1:34" x14ac:dyDescent="0.2">
      <c r="A7" s="3">
        <v>37865</v>
      </c>
      <c r="B7" s="4">
        <v>64789.512699999999</v>
      </c>
      <c r="C7" s="4">
        <v>268.48099999999999</v>
      </c>
      <c r="D7" s="4">
        <v>225.83029999999999</v>
      </c>
      <c r="E7" s="4">
        <v>42.650700000000001</v>
      </c>
      <c r="F7" s="5">
        <v>6407.2371999999996</v>
      </c>
      <c r="G7" s="4">
        <v>0</v>
      </c>
      <c r="H7" s="4">
        <v>6407.2371999999996</v>
      </c>
      <c r="I7" s="4">
        <v>-168.4075</v>
      </c>
      <c r="J7" s="5">
        <v>19624.1453</v>
      </c>
      <c r="K7" s="4">
        <v>1274.9174</v>
      </c>
      <c r="L7" s="4">
        <v>18349.227999999999</v>
      </c>
      <c r="M7" s="4">
        <v>35046.145600000003</v>
      </c>
      <c r="N7" s="4">
        <v>34832.571499999998</v>
      </c>
      <c r="O7" s="4">
        <v>105.5132</v>
      </c>
      <c r="P7" s="4">
        <v>108.0608</v>
      </c>
      <c r="Q7" s="4">
        <v>3611.9110999999998</v>
      </c>
      <c r="R7" s="4">
        <v>21126.734400000001</v>
      </c>
      <c r="S7" s="4">
        <v>43662.778200000001</v>
      </c>
      <c r="T7" s="4">
        <v>29.994499999999999</v>
      </c>
      <c r="U7" s="4">
        <v>12455.7618</v>
      </c>
      <c r="V7" s="4">
        <v>2933.2651000000001</v>
      </c>
      <c r="W7" s="4">
        <v>9522.4968000000008</v>
      </c>
      <c r="X7" s="4">
        <v>6481.4843000000001</v>
      </c>
      <c r="Y7" s="4">
        <v>36.051200000000001</v>
      </c>
      <c r="Z7" s="4">
        <v>6445.4331000000002</v>
      </c>
      <c r="AA7" s="4">
        <v>1636.8496</v>
      </c>
      <c r="AB7" s="4">
        <v>325.96210000000002</v>
      </c>
      <c r="AC7" s="4">
        <v>1310.8874000000001</v>
      </c>
      <c r="AD7" s="4">
        <v>21105.3691</v>
      </c>
      <c r="AE7" s="4">
        <v>15886.5478</v>
      </c>
      <c r="AF7" s="4">
        <v>22.610900000000001</v>
      </c>
      <c r="AG7" s="4">
        <v>5196.2102999999997</v>
      </c>
      <c r="AH7" s="4">
        <v>1953.3190999999999</v>
      </c>
    </row>
    <row r="8" spans="1:34" x14ac:dyDescent="0.2">
      <c r="A8" s="3">
        <v>37956</v>
      </c>
      <c r="B8" s="4">
        <v>59151.909599999999</v>
      </c>
      <c r="C8" s="4">
        <v>219.59569999999999</v>
      </c>
      <c r="D8" s="4">
        <v>181.4289</v>
      </c>
      <c r="E8" s="4">
        <v>38.166800000000002</v>
      </c>
      <c r="F8" s="5">
        <v>6009.8773000000001</v>
      </c>
      <c r="G8" s="4">
        <v>0</v>
      </c>
      <c r="H8" s="4">
        <v>6009.8773000000001</v>
      </c>
      <c r="I8" s="4">
        <v>-187.34800000000001</v>
      </c>
      <c r="J8" s="5">
        <v>17631.597399999999</v>
      </c>
      <c r="K8" s="4">
        <v>1593.8726999999999</v>
      </c>
      <c r="L8" s="4">
        <v>16037.7246</v>
      </c>
      <c r="M8" s="4">
        <v>32219.780599999998</v>
      </c>
      <c r="N8" s="4">
        <v>31991.506099999999</v>
      </c>
      <c r="O8" s="4">
        <v>119.6036</v>
      </c>
      <c r="P8" s="4">
        <v>108.6709</v>
      </c>
      <c r="Q8" s="4">
        <v>3258.4065999999998</v>
      </c>
      <c r="R8" s="4">
        <v>17690.594700000001</v>
      </c>
      <c r="S8" s="4">
        <v>41461.3148</v>
      </c>
      <c r="T8" s="4">
        <v>28.975200000000001</v>
      </c>
      <c r="U8" s="4">
        <v>10983.709000000001</v>
      </c>
      <c r="V8" s="4">
        <v>3322.5962</v>
      </c>
      <c r="W8" s="4">
        <v>7661.1127999999999</v>
      </c>
      <c r="X8" s="4">
        <v>5941.5196999999998</v>
      </c>
      <c r="Y8" s="4">
        <v>37.090600000000002</v>
      </c>
      <c r="Z8" s="4">
        <v>5904.4291999999996</v>
      </c>
      <c r="AA8" s="4">
        <v>1563.6647</v>
      </c>
      <c r="AB8" s="4">
        <v>240.69990000000001</v>
      </c>
      <c r="AC8" s="4">
        <v>1322.9648</v>
      </c>
      <c r="AD8" s="4">
        <v>21069.9126</v>
      </c>
      <c r="AE8" s="4">
        <v>14920.698399999999</v>
      </c>
      <c r="AF8" s="4">
        <v>23.743300000000001</v>
      </c>
      <c r="AG8" s="4">
        <v>6125.4708000000001</v>
      </c>
      <c r="AH8" s="4">
        <v>1873.5337</v>
      </c>
    </row>
    <row r="9" spans="1:34" x14ac:dyDescent="0.2">
      <c r="A9" s="3">
        <v>38047</v>
      </c>
      <c r="B9" s="4">
        <v>63464.219700000001</v>
      </c>
      <c r="C9" s="4">
        <v>192.7353</v>
      </c>
      <c r="D9" s="4">
        <v>153.02629999999999</v>
      </c>
      <c r="E9" s="4">
        <v>39.709000000000003</v>
      </c>
      <c r="F9" s="5">
        <v>6929.9970999999996</v>
      </c>
      <c r="G9" s="4">
        <v>0</v>
      </c>
      <c r="H9" s="4">
        <v>6929.9970999999996</v>
      </c>
      <c r="I9" s="4">
        <v>-119.0303</v>
      </c>
      <c r="J9" s="5">
        <v>17840.425599999999</v>
      </c>
      <c r="K9" s="4">
        <v>1427.8478</v>
      </c>
      <c r="L9" s="4">
        <v>16412.5779</v>
      </c>
      <c r="M9" s="4">
        <v>35103.087800000001</v>
      </c>
      <c r="N9" s="4">
        <v>34829.329700000002</v>
      </c>
      <c r="O9" s="4">
        <v>138.77080000000001</v>
      </c>
      <c r="P9" s="4">
        <v>134.9873</v>
      </c>
      <c r="Q9" s="4">
        <v>3517.0041000000001</v>
      </c>
      <c r="R9" s="4">
        <v>17365.936699999998</v>
      </c>
      <c r="S9" s="4">
        <v>46098.283000000003</v>
      </c>
      <c r="T9" s="4">
        <v>31.177</v>
      </c>
      <c r="U9" s="4">
        <v>11934.5988</v>
      </c>
      <c r="V9" s="4">
        <v>3853.4783000000002</v>
      </c>
      <c r="W9" s="4">
        <v>8081.1206000000002</v>
      </c>
      <c r="X9" s="4">
        <v>6530.86</v>
      </c>
      <c r="Y9" s="4">
        <v>35.383200000000002</v>
      </c>
      <c r="Z9" s="4">
        <v>6495.4768000000004</v>
      </c>
      <c r="AA9" s="4">
        <v>1656.1370999999999</v>
      </c>
      <c r="AB9" s="4">
        <v>261.1653</v>
      </c>
      <c r="AC9" s="4">
        <v>1394.9718</v>
      </c>
      <c r="AD9" s="4">
        <v>23511.7696</v>
      </c>
      <c r="AE9" s="4">
        <v>16187.871999999999</v>
      </c>
      <c r="AF9" s="4">
        <v>25.458300000000001</v>
      </c>
      <c r="AG9" s="4">
        <v>7298.4393</v>
      </c>
      <c r="AH9" s="4">
        <v>2433.7404999999999</v>
      </c>
    </row>
    <row r="10" spans="1:34" x14ac:dyDescent="0.2">
      <c r="A10" s="3">
        <v>38139</v>
      </c>
      <c r="B10" s="4">
        <v>65564.404299999995</v>
      </c>
      <c r="C10" s="4">
        <v>178.75399999999999</v>
      </c>
      <c r="D10" s="4">
        <v>148.59479999999999</v>
      </c>
      <c r="E10" s="4">
        <v>30.159300000000002</v>
      </c>
      <c r="F10" s="5">
        <v>6747.2215999999999</v>
      </c>
      <c r="G10" s="4">
        <v>0</v>
      </c>
      <c r="H10" s="4">
        <v>6747.2215999999999</v>
      </c>
      <c r="I10" s="4">
        <v>-188.7184</v>
      </c>
      <c r="J10" s="5">
        <v>17747.464499999998</v>
      </c>
      <c r="K10" s="4">
        <v>1537.2356</v>
      </c>
      <c r="L10" s="4">
        <v>16210.2289</v>
      </c>
      <c r="M10" s="4">
        <v>37439.453999999998</v>
      </c>
      <c r="N10" s="4">
        <v>37143.236700000001</v>
      </c>
      <c r="O10" s="4">
        <v>135.6978</v>
      </c>
      <c r="P10" s="4">
        <v>160.51949999999999</v>
      </c>
      <c r="Q10" s="4">
        <v>3640.2285999999999</v>
      </c>
      <c r="R10" s="4">
        <v>17993.000100000001</v>
      </c>
      <c r="S10" s="4">
        <v>47571.404199999997</v>
      </c>
      <c r="T10" s="4">
        <v>32.203400000000002</v>
      </c>
      <c r="U10" s="4">
        <v>12288.004999999999</v>
      </c>
      <c r="V10" s="4">
        <v>4147.4472999999998</v>
      </c>
      <c r="W10" s="4">
        <v>8140.5577000000003</v>
      </c>
      <c r="X10" s="4">
        <v>6918.6496999999999</v>
      </c>
      <c r="Y10" s="4">
        <v>201.3605</v>
      </c>
      <c r="Z10" s="4">
        <v>6717.2892000000002</v>
      </c>
      <c r="AA10" s="4">
        <v>1701.9716000000001</v>
      </c>
      <c r="AB10" s="4">
        <v>267.3175</v>
      </c>
      <c r="AC10" s="4">
        <v>1434.654</v>
      </c>
      <c r="AD10" s="4">
        <v>24198.986000000001</v>
      </c>
      <c r="AE10" s="4">
        <v>16673.568899999998</v>
      </c>
      <c r="AF10" s="4">
        <v>26.495999999999999</v>
      </c>
      <c r="AG10" s="4">
        <v>7498.9210999999996</v>
      </c>
      <c r="AH10" s="4">
        <v>2431.5884999999998</v>
      </c>
    </row>
    <row r="11" spans="1:34" x14ac:dyDescent="0.2">
      <c r="A11" s="3">
        <v>38231</v>
      </c>
      <c r="B11" s="4">
        <v>64088.250500000002</v>
      </c>
      <c r="C11" s="4">
        <v>162.5181</v>
      </c>
      <c r="D11" s="4">
        <v>133.69550000000001</v>
      </c>
      <c r="E11" s="4">
        <v>28.822500000000002</v>
      </c>
      <c r="F11" s="5">
        <v>6489.6827999999996</v>
      </c>
      <c r="G11" s="4">
        <v>0</v>
      </c>
      <c r="H11" s="4">
        <v>6489.6827999999996</v>
      </c>
      <c r="I11" s="4">
        <v>-287.4151</v>
      </c>
      <c r="J11" s="5">
        <v>17225.5949</v>
      </c>
      <c r="K11" s="4">
        <v>1440.4681</v>
      </c>
      <c r="L11" s="4">
        <v>15785.1268</v>
      </c>
      <c r="M11" s="4">
        <v>36770.016199999998</v>
      </c>
      <c r="N11" s="4">
        <v>36439.867299999998</v>
      </c>
      <c r="O11" s="4">
        <v>142.14699999999999</v>
      </c>
      <c r="P11" s="4">
        <v>188.00190000000001</v>
      </c>
      <c r="Q11" s="4">
        <v>3727.8535999999999</v>
      </c>
      <c r="R11" s="4">
        <v>17586.0039</v>
      </c>
      <c r="S11" s="4">
        <v>46502.246599999999</v>
      </c>
      <c r="T11" s="4">
        <v>31.358599999999999</v>
      </c>
      <c r="U11" s="4">
        <v>12059.956899999999</v>
      </c>
      <c r="V11" s="4">
        <v>4277.3267999999998</v>
      </c>
      <c r="W11" s="4">
        <v>7782.6301000000003</v>
      </c>
      <c r="X11" s="4">
        <v>6498.6463000000003</v>
      </c>
      <c r="Y11" s="4">
        <v>292.79289999999997</v>
      </c>
      <c r="Z11" s="4">
        <v>6205.8534</v>
      </c>
      <c r="AA11" s="4">
        <v>1647.481</v>
      </c>
      <c r="AB11" s="4">
        <v>245.10509999999999</v>
      </c>
      <c r="AC11" s="4">
        <v>1402.376</v>
      </c>
      <c r="AD11" s="4">
        <v>23723.932700000001</v>
      </c>
      <c r="AE11" s="4">
        <v>16191.9985</v>
      </c>
      <c r="AF11" s="4">
        <v>27.052800000000001</v>
      </c>
      <c r="AG11" s="4">
        <v>7504.8814000000002</v>
      </c>
      <c r="AH11" s="4">
        <v>2540.8710000000001</v>
      </c>
    </row>
    <row r="12" spans="1:34" x14ac:dyDescent="0.2">
      <c r="A12" s="3">
        <v>38322</v>
      </c>
      <c r="B12" s="4">
        <v>60904.460299999999</v>
      </c>
      <c r="C12" s="4">
        <v>146.0213</v>
      </c>
      <c r="D12" s="4">
        <v>118.7101</v>
      </c>
      <c r="E12" s="4">
        <v>27.311299999999999</v>
      </c>
      <c r="F12" s="5">
        <v>6448.1632</v>
      </c>
      <c r="G12" s="4">
        <v>0</v>
      </c>
      <c r="H12" s="4">
        <v>6448.1632</v>
      </c>
      <c r="I12" s="4">
        <v>-167.2533</v>
      </c>
      <c r="J12" s="5">
        <v>15153.3765</v>
      </c>
      <c r="K12" s="4">
        <v>1371.7523000000001</v>
      </c>
      <c r="L12" s="4">
        <v>13781.624299999999</v>
      </c>
      <c r="M12" s="4">
        <v>35700.986799999999</v>
      </c>
      <c r="N12" s="4">
        <v>35399.554799999998</v>
      </c>
      <c r="O12" s="4">
        <v>139.72970000000001</v>
      </c>
      <c r="P12" s="4">
        <v>161.7022</v>
      </c>
      <c r="Q12" s="4">
        <v>3623.1658000000002</v>
      </c>
      <c r="R12" s="4">
        <v>13185.170899999999</v>
      </c>
      <c r="S12" s="4">
        <v>47719.289400000001</v>
      </c>
      <c r="T12" s="4">
        <v>31.147400000000001</v>
      </c>
      <c r="U12" s="4">
        <v>11720.4712</v>
      </c>
      <c r="V12" s="4">
        <v>3910.2995000000001</v>
      </c>
      <c r="W12" s="4">
        <v>7810.1716999999999</v>
      </c>
      <c r="X12" s="4">
        <v>6800.9863999999998</v>
      </c>
      <c r="Y12" s="4">
        <v>684.58799999999997</v>
      </c>
      <c r="Z12" s="4">
        <v>6116.3984</v>
      </c>
      <c r="AA12" s="4">
        <v>1601.2442000000001</v>
      </c>
      <c r="AB12" s="4">
        <v>291.24</v>
      </c>
      <c r="AC12" s="4">
        <v>1310.0041000000001</v>
      </c>
      <c r="AD12" s="4">
        <v>25045.762299999999</v>
      </c>
      <c r="AE12" s="4">
        <v>16641.676500000001</v>
      </c>
      <c r="AF12" s="4">
        <v>24.7226</v>
      </c>
      <c r="AG12" s="4">
        <v>8379.3633000000009</v>
      </c>
      <c r="AH12" s="4">
        <v>2519.6779000000001</v>
      </c>
    </row>
    <row r="13" spans="1:34" x14ac:dyDescent="0.2">
      <c r="A13" s="3">
        <v>38412</v>
      </c>
      <c r="B13" s="4">
        <v>65601.404399999999</v>
      </c>
      <c r="C13" s="4">
        <v>127.3279</v>
      </c>
      <c r="D13" s="4">
        <v>98.748000000000005</v>
      </c>
      <c r="E13" s="4">
        <v>28.579899999999999</v>
      </c>
      <c r="F13" s="5">
        <v>6656.0772999999999</v>
      </c>
      <c r="G13" s="4">
        <v>0</v>
      </c>
      <c r="H13" s="4">
        <v>6656.0772999999999</v>
      </c>
      <c r="I13" s="4">
        <v>87.132000000000005</v>
      </c>
      <c r="J13" s="5">
        <v>16376.1859</v>
      </c>
      <c r="K13" s="4">
        <v>1366.7008000000001</v>
      </c>
      <c r="L13" s="4">
        <v>15009.4851</v>
      </c>
      <c r="M13" s="4">
        <v>38388.642099999997</v>
      </c>
      <c r="N13" s="4">
        <v>38068.5262</v>
      </c>
      <c r="O13" s="4">
        <v>156.32</v>
      </c>
      <c r="P13" s="4">
        <v>163.79589999999999</v>
      </c>
      <c r="Q13" s="4">
        <v>3966.0392000000002</v>
      </c>
      <c r="R13" s="4">
        <v>14186.531800000001</v>
      </c>
      <c r="S13" s="4">
        <v>51414.872600000002</v>
      </c>
      <c r="T13" s="4">
        <v>32.656999999999996</v>
      </c>
      <c r="U13" s="4">
        <v>12811.6366</v>
      </c>
      <c r="V13" s="4">
        <v>4859.3324000000002</v>
      </c>
      <c r="W13" s="4">
        <v>7952.3041999999996</v>
      </c>
      <c r="X13" s="4">
        <v>7334.7695000000003</v>
      </c>
      <c r="Y13" s="4">
        <v>750.87660000000005</v>
      </c>
      <c r="Z13" s="4">
        <v>6583.8928999999998</v>
      </c>
      <c r="AA13" s="4">
        <v>1801.4154000000001</v>
      </c>
      <c r="AB13" s="4">
        <v>298.48660000000001</v>
      </c>
      <c r="AC13" s="4">
        <v>1502.9287999999999</v>
      </c>
      <c r="AD13" s="4">
        <v>26888.266899999999</v>
      </c>
      <c r="AE13" s="4">
        <v>17733.0425</v>
      </c>
      <c r="AF13" s="4">
        <v>28.114699999999999</v>
      </c>
      <c r="AG13" s="4">
        <v>9127.1097000000009</v>
      </c>
      <c r="AH13" s="4">
        <v>2546.1273999999999</v>
      </c>
    </row>
    <row r="14" spans="1:34" x14ac:dyDescent="0.2">
      <c r="A14" s="3">
        <v>38504</v>
      </c>
      <c r="B14" s="4">
        <v>67734.838799999998</v>
      </c>
      <c r="C14" s="4">
        <v>125.3596</v>
      </c>
      <c r="D14" s="4">
        <v>106.7882</v>
      </c>
      <c r="E14" s="4">
        <v>18.571400000000001</v>
      </c>
      <c r="F14" s="5">
        <v>6598.1018000000004</v>
      </c>
      <c r="G14" s="4">
        <v>0</v>
      </c>
      <c r="H14" s="4">
        <v>6598.1018000000004</v>
      </c>
      <c r="I14" s="4">
        <v>142.22989999999999</v>
      </c>
      <c r="J14" s="5">
        <v>16116.4059</v>
      </c>
      <c r="K14" s="4">
        <v>1130.1135999999999</v>
      </c>
      <c r="L14" s="4">
        <v>14986.2924</v>
      </c>
      <c r="M14" s="4">
        <v>40779.165099999998</v>
      </c>
      <c r="N14" s="4">
        <v>40436.159200000002</v>
      </c>
      <c r="O14" s="4">
        <v>146.81549999999999</v>
      </c>
      <c r="P14" s="4">
        <v>196.19030000000001</v>
      </c>
      <c r="Q14" s="4">
        <v>3973.5765000000001</v>
      </c>
      <c r="R14" s="4">
        <v>15291.3683</v>
      </c>
      <c r="S14" s="4">
        <v>52443.470500000003</v>
      </c>
      <c r="T14" s="4">
        <v>31.798400000000001</v>
      </c>
      <c r="U14" s="4">
        <v>12538.3253</v>
      </c>
      <c r="V14" s="4">
        <v>4653.1688999999997</v>
      </c>
      <c r="W14" s="4">
        <v>7885.1565000000001</v>
      </c>
      <c r="X14" s="4">
        <v>7545.0300999999999</v>
      </c>
      <c r="Y14" s="4">
        <v>661.84230000000002</v>
      </c>
      <c r="Z14" s="4">
        <v>6883.1877999999997</v>
      </c>
      <c r="AA14" s="4">
        <v>1790.2873</v>
      </c>
      <c r="AB14" s="4">
        <v>305.95569999999998</v>
      </c>
      <c r="AC14" s="4">
        <v>1484.3317</v>
      </c>
      <c r="AD14" s="4">
        <v>28057.5586</v>
      </c>
      <c r="AE14" s="4">
        <v>18287.8187</v>
      </c>
      <c r="AF14" s="4">
        <v>25.833400000000001</v>
      </c>
      <c r="AG14" s="4">
        <v>9743.9064999999991</v>
      </c>
      <c r="AH14" s="4">
        <v>2480.4706999999999</v>
      </c>
    </row>
    <row r="15" spans="1:34" x14ac:dyDescent="0.2">
      <c r="A15" s="3">
        <v>38596</v>
      </c>
      <c r="B15" s="4">
        <v>64014.075199999999</v>
      </c>
      <c r="C15" s="4">
        <v>114.5057</v>
      </c>
      <c r="D15" s="4">
        <v>97.397400000000005</v>
      </c>
      <c r="E15" s="4">
        <v>17.1084</v>
      </c>
      <c r="F15" s="5">
        <v>5966.0158000000001</v>
      </c>
      <c r="G15" s="4">
        <v>0</v>
      </c>
      <c r="H15" s="4">
        <v>5966.0158000000001</v>
      </c>
      <c r="I15" s="4">
        <v>159.63939999999999</v>
      </c>
      <c r="J15" s="5">
        <v>14608.7652</v>
      </c>
      <c r="K15" s="4">
        <v>724.524</v>
      </c>
      <c r="L15" s="4">
        <v>13884.2413</v>
      </c>
      <c r="M15" s="4">
        <v>39280.4473</v>
      </c>
      <c r="N15" s="4">
        <v>38901.499799999998</v>
      </c>
      <c r="O15" s="4">
        <v>146.37639999999999</v>
      </c>
      <c r="P15" s="4">
        <v>232.571</v>
      </c>
      <c r="Q15" s="4">
        <v>3884.7017000000001</v>
      </c>
      <c r="R15" s="4">
        <v>13474.554899999999</v>
      </c>
      <c r="S15" s="4">
        <v>50539.520400000001</v>
      </c>
      <c r="T15" s="4">
        <v>29.692799999999998</v>
      </c>
      <c r="U15" s="4">
        <v>11833.320400000001</v>
      </c>
      <c r="V15" s="4">
        <v>4591.7851000000001</v>
      </c>
      <c r="W15" s="4">
        <v>7241.5352999999996</v>
      </c>
      <c r="X15" s="4">
        <v>6417.9267</v>
      </c>
      <c r="Y15" s="4">
        <v>645.17870000000005</v>
      </c>
      <c r="Z15" s="4">
        <v>5772.7479999999996</v>
      </c>
      <c r="AA15" s="4">
        <v>1695.9299000000001</v>
      </c>
      <c r="AB15" s="4">
        <v>279.26839999999999</v>
      </c>
      <c r="AC15" s="4">
        <v>1416.6614999999999</v>
      </c>
      <c r="AD15" s="4">
        <v>27925.9234</v>
      </c>
      <c r="AE15" s="4">
        <v>17108.9725</v>
      </c>
      <c r="AF15" s="4">
        <v>28.2974</v>
      </c>
      <c r="AG15" s="4">
        <v>10788.6535</v>
      </c>
      <c r="AH15" s="4">
        <v>2636.7271000000001</v>
      </c>
    </row>
    <row r="16" spans="1:34" x14ac:dyDescent="0.2">
      <c r="A16" s="3">
        <v>38687</v>
      </c>
      <c r="B16" s="4">
        <v>63741.791799999999</v>
      </c>
      <c r="C16" s="4">
        <v>113.5986</v>
      </c>
      <c r="D16" s="4">
        <v>97.149799999999999</v>
      </c>
      <c r="E16" s="4">
        <v>16.448799999999999</v>
      </c>
      <c r="F16" s="5">
        <v>5540.6526000000003</v>
      </c>
      <c r="G16" s="4">
        <v>0</v>
      </c>
      <c r="H16" s="4">
        <v>5540.6526000000003</v>
      </c>
      <c r="I16" s="4">
        <v>101.33880000000001</v>
      </c>
      <c r="J16" s="5">
        <v>14433.5867</v>
      </c>
      <c r="K16" s="4">
        <v>667.49400000000003</v>
      </c>
      <c r="L16" s="4">
        <v>13766.092699999999</v>
      </c>
      <c r="M16" s="4">
        <v>39666.133500000004</v>
      </c>
      <c r="N16" s="4">
        <v>39349.422400000003</v>
      </c>
      <c r="O16" s="4">
        <v>160.78489999999999</v>
      </c>
      <c r="P16" s="4">
        <v>155.9263</v>
      </c>
      <c r="Q16" s="4">
        <v>3886.4814999999999</v>
      </c>
      <c r="R16" s="4">
        <v>11266.921</v>
      </c>
      <c r="S16" s="4">
        <v>52474.870799999997</v>
      </c>
      <c r="T16" s="4">
        <v>28.765899999999998</v>
      </c>
      <c r="U16" s="4">
        <v>11735.859399999999</v>
      </c>
      <c r="V16" s="4">
        <v>4168.9373999999998</v>
      </c>
      <c r="W16" s="4">
        <v>7566.9219999999996</v>
      </c>
      <c r="X16" s="4">
        <v>6232.7840999999999</v>
      </c>
      <c r="Y16" s="4">
        <v>648.51649999999995</v>
      </c>
      <c r="Z16" s="4">
        <v>5584.2674999999999</v>
      </c>
      <c r="AA16" s="4">
        <v>1725.75</v>
      </c>
      <c r="AB16" s="4">
        <v>254.99160000000001</v>
      </c>
      <c r="AC16" s="4">
        <v>1470.7583999999999</v>
      </c>
      <c r="AD16" s="4">
        <v>29533.080999999998</v>
      </c>
      <c r="AE16" s="4">
        <v>18178.196400000001</v>
      </c>
      <c r="AF16" s="4">
        <v>27.428799999999999</v>
      </c>
      <c r="AG16" s="4">
        <v>11327.4558</v>
      </c>
      <c r="AH16" s="4">
        <v>3218.6304</v>
      </c>
    </row>
    <row r="17" spans="1:34" x14ac:dyDescent="0.2">
      <c r="A17" s="3">
        <v>38777</v>
      </c>
      <c r="B17" s="4">
        <v>69087.543000000005</v>
      </c>
      <c r="C17" s="4">
        <v>117.5967</v>
      </c>
      <c r="D17" s="4">
        <v>100.608</v>
      </c>
      <c r="E17" s="4">
        <v>16.988700000000001</v>
      </c>
      <c r="F17" s="5">
        <v>5540.3521000000001</v>
      </c>
      <c r="G17" s="4">
        <v>0</v>
      </c>
      <c r="H17" s="4">
        <v>5540.3521000000001</v>
      </c>
      <c r="I17" s="4">
        <v>857.07190000000003</v>
      </c>
      <c r="J17" s="5">
        <v>15314.5314</v>
      </c>
      <c r="K17" s="4">
        <v>456.8655</v>
      </c>
      <c r="L17" s="4">
        <v>14857.665999999999</v>
      </c>
      <c r="M17" s="4">
        <v>42954.798699999999</v>
      </c>
      <c r="N17" s="4">
        <v>42590.256000000001</v>
      </c>
      <c r="O17" s="4">
        <v>191.0428</v>
      </c>
      <c r="P17" s="4">
        <v>173.4999</v>
      </c>
      <c r="Q17" s="4">
        <v>4303.1922999999997</v>
      </c>
      <c r="R17" s="4">
        <v>10382.023300000001</v>
      </c>
      <c r="S17" s="4">
        <v>58705.519699999997</v>
      </c>
      <c r="T17" s="4">
        <v>30.233000000000001</v>
      </c>
      <c r="U17" s="4">
        <v>12939.509099999999</v>
      </c>
      <c r="V17" s="4">
        <v>5356.6256000000003</v>
      </c>
      <c r="W17" s="4">
        <v>7582.8833999999997</v>
      </c>
      <c r="X17" s="4">
        <v>7138.8100999999997</v>
      </c>
      <c r="Y17" s="4">
        <v>1460.1613</v>
      </c>
      <c r="Z17" s="4">
        <v>5678.6487999999999</v>
      </c>
      <c r="AA17" s="4">
        <v>1833.7927</v>
      </c>
      <c r="AB17" s="4">
        <v>254.04939999999999</v>
      </c>
      <c r="AC17" s="4">
        <v>1579.7433000000001</v>
      </c>
      <c r="AD17" s="4">
        <v>32785.816099999996</v>
      </c>
      <c r="AE17" s="4">
        <v>19740.7791</v>
      </c>
      <c r="AF17" s="4">
        <v>29.088100000000001</v>
      </c>
      <c r="AG17" s="4">
        <v>13015.948899999999</v>
      </c>
      <c r="AH17" s="4">
        <v>3977.3587000000002</v>
      </c>
    </row>
    <row r="18" spans="1:34" x14ac:dyDescent="0.2">
      <c r="A18" s="3">
        <v>38869</v>
      </c>
      <c r="B18" s="4">
        <v>71224.5861</v>
      </c>
      <c r="C18" s="4">
        <v>213.88910000000001</v>
      </c>
      <c r="D18" s="4">
        <v>196.60069999999999</v>
      </c>
      <c r="E18" s="4">
        <v>17.288399999999999</v>
      </c>
      <c r="F18" s="5">
        <v>5858.4811</v>
      </c>
      <c r="G18" s="4">
        <v>0</v>
      </c>
      <c r="H18" s="4">
        <v>5858.4811</v>
      </c>
      <c r="I18" s="4">
        <v>1490.7799</v>
      </c>
      <c r="J18" s="5">
        <v>16052.838599999999</v>
      </c>
      <c r="K18" s="4">
        <v>641.4117</v>
      </c>
      <c r="L18" s="4">
        <v>15411.4269</v>
      </c>
      <c r="M18" s="4">
        <v>43035.600700000003</v>
      </c>
      <c r="N18" s="4">
        <v>42658.7088</v>
      </c>
      <c r="O18" s="4">
        <v>202.90539999999999</v>
      </c>
      <c r="P18" s="4">
        <v>173.98650000000001</v>
      </c>
      <c r="Q18" s="4">
        <v>4572.9967999999999</v>
      </c>
      <c r="R18" s="4">
        <v>8374.0570000000007</v>
      </c>
      <c r="S18" s="4">
        <v>62850.529199999997</v>
      </c>
      <c r="T18" s="4">
        <v>32.259</v>
      </c>
      <c r="U18" s="4">
        <v>13955.319</v>
      </c>
      <c r="V18" s="4">
        <v>4935.8734000000004</v>
      </c>
      <c r="W18" s="4">
        <v>9019.4457000000002</v>
      </c>
      <c r="X18" s="4">
        <v>8199.1538</v>
      </c>
      <c r="Y18" s="4">
        <v>2317.9268999999999</v>
      </c>
      <c r="Z18" s="4">
        <v>5881.2268999999997</v>
      </c>
      <c r="AA18" s="4">
        <v>2140.3287999999998</v>
      </c>
      <c r="AB18" s="4">
        <v>275.88389999999998</v>
      </c>
      <c r="AC18" s="4">
        <v>1864.4448</v>
      </c>
      <c r="AD18" s="4">
        <v>33844.4496</v>
      </c>
      <c r="AE18" s="4">
        <v>21197.687600000001</v>
      </c>
      <c r="AF18" s="4">
        <v>29.484999999999999</v>
      </c>
      <c r="AG18" s="4">
        <v>12617.277</v>
      </c>
      <c r="AH18" s="4">
        <v>4679.0190000000002</v>
      </c>
    </row>
    <row r="19" spans="1:34" x14ac:dyDescent="0.2">
      <c r="A19" s="3">
        <v>38961</v>
      </c>
      <c r="B19" s="4">
        <v>71542.474199999997</v>
      </c>
      <c r="C19" s="4">
        <v>128.08709999999999</v>
      </c>
      <c r="D19" s="4">
        <v>115.18170000000001</v>
      </c>
      <c r="E19" s="4">
        <v>12.9054</v>
      </c>
      <c r="F19" s="5">
        <v>5899.3757999999998</v>
      </c>
      <c r="G19" s="4">
        <v>0</v>
      </c>
      <c r="H19" s="4">
        <v>5899.3757999999998</v>
      </c>
      <c r="I19" s="4">
        <v>1706.0231000000001</v>
      </c>
      <c r="J19" s="5">
        <v>15569.0322</v>
      </c>
      <c r="K19" s="4">
        <v>684.71090000000004</v>
      </c>
      <c r="L19" s="4">
        <v>14884.321400000001</v>
      </c>
      <c r="M19" s="4">
        <v>43598.603000000003</v>
      </c>
      <c r="N19" s="4">
        <v>43194.397299999997</v>
      </c>
      <c r="O19" s="4">
        <v>213.2868</v>
      </c>
      <c r="P19" s="4">
        <v>190.91890000000001</v>
      </c>
      <c r="Q19" s="4">
        <v>4641.3530000000001</v>
      </c>
      <c r="R19" s="4">
        <v>5282.7209000000003</v>
      </c>
      <c r="S19" s="4">
        <v>66259.753299999997</v>
      </c>
      <c r="T19" s="4">
        <v>31.483000000000001</v>
      </c>
      <c r="U19" s="4">
        <v>13882.6883</v>
      </c>
      <c r="V19" s="4">
        <v>5006.3407999999999</v>
      </c>
      <c r="W19" s="4">
        <v>8876.3474999999999</v>
      </c>
      <c r="X19" s="4">
        <v>9766.6854000000003</v>
      </c>
      <c r="Y19" s="4">
        <v>3695.5506999999998</v>
      </c>
      <c r="Z19" s="4">
        <v>6071.1346999999996</v>
      </c>
      <c r="AA19" s="4">
        <v>2221.7869000000001</v>
      </c>
      <c r="AB19" s="4">
        <v>343.30790000000002</v>
      </c>
      <c r="AC19" s="4">
        <v>1878.479</v>
      </c>
      <c r="AD19" s="4">
        <v>36350.906600000002</v>
      </c>
      <c r="AE19" s="4">
        <v>22809.223000000002</v>
      </c>
      <c r="AF19" s="4">
        <v>29.9239</v>
      </c>
      <c r="AG19" s="4">
        <v>13511.759599999999</v>
      </c>
      <c r="AH19" s="4">
        <v>4006.203</v>
      </c>
    </row>
    <row r="20" spans="1:34" x14ac:dyDescent="0.2">
      <c r="A20" s="3">
        <v>39052</v>
      </c>
      <c r="B20" s="4">
        <v>72013.906499999997</v>
      </c>
      <c r="C20" s="4">
        <v>126.7445</v>
      </c>
      <c r="D20" s="4">
        <v>114.38209999999999</v>
      </c>
      <c r="E20" s="4">
        <v>12.362399999999999</v>
      </c>
      <c r="F20" s="5">
        <v>6096.4201999999996</v>
      </c>
      <c r="G20" s="4">
        <v>0</v>
      </c>
      <c r="H20" s="4">
        <v>6096.4201999999996</v>
      </c>
      <c r="I20" s="4">
        <v>1670.8329000000001</v>
      </c>
      <c r="J20" s="5">
        <v>15537.9128</v>
      </c>
      <c r="K20" s="4">
        <v>1133.2597000000001</v>
      </c>
      <c r="L20" s="4">
        <v>14404.6531</v>
      </c>
      <c r="M20" s="4">
        <v>43888.545299999998</v>
      </c>
      <c r="N20" s="4">
        <v>43460.268900000003</v>
      </c>
      <c r="O20" s="4">
        <v>225.47380000000001</v>
      </c>
      <c r="P20" s="4">
        <v>202.80260000000001</v>
      </c>
      <c r="Q20" s="4">
        <v>4693.4507999999996</v>
      </c>
      <c r="R20" s="4">
        <v>959.51469999999995</v>
      </c>
      <c r="S20" s="4">
        <v>71054.391799999998</v>
      </c>
      <c r="T20" s="4">
        <v>31.494700000000002</v>
      </c>
      <c r="U20" s="4">
        <v>14763.2706</v>
      </c>
      <c r="V20" s="4">
        <v>4956.0695999999998</v>
      </c>
      <c r="W20" s="4">
        <v>9807.2009999999991</v>
      </c>
      <c r="X20" s="4">
        <v>11115.9197</v>
      </c>
      <c r="Y20" s="4">
        <v>4555.0956999999999</v>
      </c>
      <c r="Z20" s="4">
        <v>6560.8239999999996</v>
      </c>
      <c r="AA20" s="4">
        <v>2118.3559</v>
      </c>
      <c r="AB20" s="4">
        <v>393.87189999999998</v>
      </c>
      <c r="AC20" s="4">
        <v>1724.4839999999999</v>
      </c>
      <c r="AD20" s="4">
        <v>39193.098100000003</v>
      </c>
      <c r="AE20" s="4">
        <v>24002.7474</v>
      </c>
      <c r="AF20" s="4">
        <v>32.093899999999998</v>
      </c>
      <c r="AG20" s="4">
        <v>15158.256799999999</v>
      </c>
      <c r="AH20" s="4">
        <v>3832.2527</v>
      </c>
    </row>
    <row r="21" spans="1:34" x14ac:dyDescent="0.2">
      <c r="A21" s="3">
        <v>39142</v>
      </c>
      <c r="B21" s="4">
        <v>76644.253500000006</v>
      </c>
      <c r="C21" s="4">
        <v>122.4953</v>
      </c>
      <c r="D21" s="4">
        <v>110.1581</v>
      </c>
      <c r="E21" s="4">
        <v>12.337199999999999</v>
      </c>
      <c r="F21" s="5">
        <v>6323.8482999999997</v>
      </c>
      <c r="G21" s="4">
        <v>0</v>
      </c>
      <c r="H21" s="4">
        <v>6323.8482999999997</v>
      </c>
      <c r="I21" s="4">
        <v>1646.3715999999999</v>
      </c>
      <c r="J21" s="5">
        <v>15233.871300000001</v>
      </c>
      <c r="K21" s="4">
        <v>451.91199999999998</v>
      </c>
      <c r="L21" s="4">
        <v>14781.959199999999</v>
      </c>
      <c r="M21" s="4">
        <v>48601.368499999997</v>
      </c>
      <c r="N21" s="4">
        <v>48127.7045</v>
      </c>
      <c r="O21" s="4">
        <v>242.48509999999999</v>
      </c>
      <c r="P21" s="4">
        <v>231.1789</v>
      </c>
      <c r="Q21" s="4">
        <v>4716.2986000000001</v>
      </c>
      <c r="R21" s="4">
        <v>407.66890000000001</v>
      </c>
      <c r="S21" s="4">
        <v>76236.584600000002</v>
      </c>
      <c r="T21" s="4">
        <v>31.640799999999999</v>
      </c>
      <c r="U21" s="4">
        <v>14036.0605</v>
      </c>
      <c r="V21" s="4">
        <v>4539.5914000000002</v>
      </c>
      <c r="W21" s="4">
        <v>9496.4691999999995</v>
      </c>
      <c r="X21" s="4">
        <v>12427.316800000001</v>
      </c>
      <c r="Y21" s="4">
        <v>2759.7939999999999</v>
      </c>
      <c r="Z21" s="4">
        <v>9667.5226999999995</v>
      </c>
      <c r="AA21" s="4">
        <v>2335.125</v>
      </c>
      <c r="AB21" s="4">
        <v>513.94560000000001</v>
      </c>
      <c r="AC21" s="4">
        <v>1821.1795</v>
      </c>
      <c r="AD21" s="4">
        <v>43103.359299999996</v>
      </c>
      <c r="AE21" s="4">
        <v>27007.866000000002</v>
      </c>
      <c r="AF21" s="4">
        <v>35.990299999999998</v>
      </c>
      <c r="AG21" s="4">
        <v>16059.503000000001</v>
      </c>
      <c r="AH21" s="4">
        <v>4303.0820999999996</v>
      </c>
    </row>
    <row r="22" spans="1:34" x14ac:dyDescent="0.2">
      <c r="A22" s="3">
        <v>39234</v>
      </c>
      <c r="B22" s="4">
        <v>81197.500400000004</v>
      </c>
      <c r="C22" s="4">
        <v>122.2133</v>
      </c>
      <c r="D22" s="4">
        <v>110.5497</v>
      </c>
      <c r="E22" s="4">
        <v>11.663600000000001</v>
      </c>
      <c r="F22" s="5">
        <v>6095.8777</v>
      </c>
      <c r="G22" s="4">
        <v>0</v>
      </c>
      <c r="H22" s="4">
        <v>6095.8777</v>
      </c>
      <c r="I22" s="4">
        <v>1843.1949</v>
      </c>
      <c r="J22" s="5">
        <v>16032.370800000001</v>
      </c>
      <c r="K22" s="4">
        <v>546.6155</v>
      </c>
      <c r="L22" s="4">
        <v>15485.7552</v>
      </c>
      <c r="M22" s="4">
        <v>52144.470099999999</v>
      </c>
      <c r="N22" s="4">
        <v>51621.938000000002</v>
      </c>
      <c r="O22" s="4">
        <v>265.10090000000002</v>
      </c>
      <c r="P22" s="4">
        <v>257.43119999999999</v>
      </c>
      <c r="Q22" s="4">
        <v>4959.3735999999999</v>
      </c>
      <c r="R22" s="4">
        <v>395.6986</v>
      </c>
      <c r="S22" s="4">
        <v>80801.801800000001</v>
      </c>
      <c r="T22" s="4">
        <v>30.700199999999999</v>
      </c>
      <c r="U22" s="4">
        <v>14491.064899999999</v>
      </c>
      <c r="V22" s="4">
        <v>4109.7332999999999</v>
      </c>
      <c r="W22" s="4">
        <v>10381.3316</v>
      </c>
      <c r="X22" s="4">
        <v>12738.054099999999</v>
      </c>
      <c r="Y22" s="4">
        <v>2183.0985000000001</v>
      </c>
      <c r="Z22" s="4">
        <v>10554.955599999999</v>
      </c>
      <c r="AA22" s="4">
        <v>2450.8218000000002</v>
      </c>
      <c r="AB22" s="4">
        <v>616.94269999999995</v>
      </c>
      <c r="AC22" s="4">
        <v>1833.8792000000001</v>
      </c>
      <c r="AD22" s="4">
        <v>46390.737800000003</v>
      </c>
      <c r="AE22" s="4">
        <v>28696.087899999999</v>
      </c>
      <c r="AF22" s="4">
        <v>36.379100000000001</v>
      </c>
      <c r="AG22" s="4">
        <v>17658.270799999998</v>
      </c>
      <c r="AH22" s="4">
        <v>4700.4229999999998</v>
      </c>
    </row>
    <row r="23" spans="1:34" x14ac:dyDescent="0.2">
      <c r="A23" s="3">
        <v>39326</v>
      </c>
      <c r="B23" s="4">
        <v>81390.953899999993</v>
      </c>
      <c r="C23" s="4">
        <v>126.3614</v>
      </c>
      <c r="D23" s="4">
        <v>115.2269</v>
      </c>
      <c r="E23" s="4">
        <v>11.134499999999999</v>
      </c>
      <c r="F23" s="5">
        <v>5668.1967999999997</v>
      </c>
      <c r="G23" s="4">
        <v>0</v>
      </c>
      <c r="H23" s="4">
        <v>5668.1967999999997</v>
      </c>
      <c r="I23" s="4">
        <v>1889.4246000000001</v>
      </c>
      <c r="J23" s="5">
        <v>16860.927599999999</v>
      </c>
      <c r="K23" s="4">
        <v>400.35160000000002</v>
      </c>
      <c r="L23" s="4">
        <v>16460.5759</v>
      </c>
      <c r="M23" s="4">
        <v>51784.499600000003</v>
      </c>
      <c r="N23" s="4">
        <v>51233.943200000002</v>
      </c>
      <c r="O23" s="4">
        <v>276.19920000000002</v>
      </c>
      <c r="P23" s="4">
        <v>274.35719999999998</v>
      </c>
      <c r="Q23" s="4">
        <v>5061.5439999999999</v>
      </c>
      <c r="R23" s="4">
        <v>-2982.0891000000001</v>
      </c>
      <c r="S23" s="4">
        <v>84373.043000000005</v>
      </c>
      <c r="T23" s="4">
        <v>29.959900000000001</v>
      </c>
      <c r="U23" s="4">
        <v>14376.6741</v>
      </c>
      <c r="V23" s="4">
        <v>4563.6724999999997</v>
      </c>
      <c r="W23" s="4">
        <v>9813.0015999999996</v>
      </c>
      <c r="X23" s="4">
        <v>13379.3838</v>
      </c>
      <c r="Y23" s="4">
        <v>2562.6714000000002</v>
      </c>
      <c r="Z23" s="4">
        <v>10816.7124</v>
      </c>
      <c r="AA23" s="4">
        <v>2573.2503999999999</v>
      </c>
      <c r="AB23" s="4">
        <v>587.82209999999998</v>
      </c>
      <c r="AC23" s="4">
        <v>1985.4283</v>
      </c>
      <c r="AD23" s="4">
        <v>49380.756699999998</v>
      </c>
      <c r="AE23" s="4">
        <v>29972.366399999999</v>
      </c>
      <c r="AF23" s="4">
        <v>37.5794</v>
      </c>
      <c r="AG23" s="4">
        <v>19370.8109</v>
      </c>
      <c r="AH23" s="4">
        <v>4633.0181000000002</v>
      </c>
    </row>
    <row r="24" spans="1:34" x14ac:dyDescent="0.2">
      <c r="A24" s="3">
        <v>39417</v>
      </c>
      <c r="B24" s="4">
        <v>80836.527000000002</v>
      </c>
      <c r="C24" s="4">
        <v>114.3419</v>
      </c>
      <c r="D24" s="4">
        <v>103.8691</v>
      </c>
      <c r="E24" s="4">
        <v>10.472799999999999</v>
      </c>
      <c r="F24" s="5">
        <v>5298.8978999999999</v>
      </c>
      <c r="G24" s="4">
        <v>0</v>
      </c>
      <c r="H24" s="4">
        <v>5298.8978999999999</v>
      </c>
      <c r="I24" s="4">
        <v>1748.5980999999999</v>
      </c>
      <c r="J24" s="5">
        <v>17180.283500000001</v>
      </c>
      <c r="K24" s="4">
        <v>522.1694</v>
      </c>
      <c r="L24" s="4">
        <v>16658.114099999999</v>
      </c>
      <c r="M24" s="4">
        <v>51057.612099999998</v>
      </c>
      <c r="N24" s="4">
        <v>50514.058299999997</v>
      </c>
      <c r="O24" s="4">
        <v>273.49189999999999</v>
      </c>
      <c r="P24" s="4">
        <v>270.06200000000001</v>
      </c>
      <c r="Q24" s="4">
        <v>5436.7936</v>
      </c>
      <c r="R24" s="4">
        <v>-6209.4494000000004</v>
      </c>
      <c r="S24" s="4">
        <v>87045.9764</v>
      </c>
      <c r="T24" s="4">
        <v>29.171500000000002</v>
      </c>
      <c r="U24" s="4">
        <v>14957.767099999999</v>
      </c>
      <c r="V24" s="4">
        <v>5185.1957000000002</v>
      </c>
      <c r="W24" s="4">
        <v>9772.5714000000007</v>
      </c>
      <c r="X24" s="4">
        <v>14296.0362</v>
      </c>
      <c r="Y24" s="4">
        <v>1982.2139</v>
      </c>
      <c r="Z24" s="4">
        <v>12313.8223</v>
      </c>
      <c r="AA24" s="4">
        <v>2683.0491000000002</v>
      </c>
      <c r="AB24" s="4">
        <v>634.47889999999995</v>
      </c>
      <c r="AC24" s="4">
        <v>2048.5702000000001</v>
      </c>
      <c r="AD24" s="4">
        <v>50424.118399999999</v>
      </c>
      <c r="AE24" s="4">
        <v>31296.980299999999</v>
      </c>
      <c r="AF24" s="4">
        <v>36.953899999999997</v>
      </c>
      <c r="AG24" s="4">
        <v>19090.1842</v>
      </c>
      <c r="AH24" s="4">
        <v>4655.8341</v>
      </c>
    </row>
    <row r="25" spans="1:34" x14ac:dyDescent="0.2">
      <c r="A25" s="3">
        <v>39508</v>
      </c>
      <c r="B25" s="4">
        <v>79342.255699999994</v>
      </c>
      <c r="C25" s="4">
        <v>193.9281</v>
      </c>
      <c r="D25" s="4">
        <v>184.9409</v>
      </c>
      <c r="E25" s="4">
        <v>8.9871999999999996</v>
      </c>
      <c r="F25" s="5">
        <v>4360.9696000000004</v>
      </c>
      <c r="G25" s="4">
        <v>0</v>
      </c>
      <c r="H25" s="4">
        <v>4360.9696000000004</v>
      </c>
      <c r="I25" s="4">
        <v>1935.4955</v>
      </c>
      <c r="J25" s="5">
        <v>16595.1384</v>
      </c>
      <c r="K25" s="4">
        <v>720.32640000000004</v>
      </c>
      <c r="L25" s="4">
        <v>15874.812</v>
      </c>
      <c r="M25" s="4">
        <v>51284.540099999998</v>
      </c>
      <c r="N25" s="4">
        <v>50729.765500000001</v>
      </c>
      <c r="O25" s="4">
        <v>287.67340000000002</v>
      </c>
      <c r="P25" s="4">
        <v>267.10120000000001</v>
      </c>
      <c r="Q25" s="4">
        <v>4972.1839</v>
      </c>
      <c r="R25" s="4">
        <v>1249.3849</v>
      </c>
      <c r="S25" s="4">
        <v>78092.870800000004</v>
      </c>
      <c r="T25" s="4">
        <v>26.673500000000001</v>
      </c>
      <c r="U25" s="4">
        <v>12188.7613</v>
      </c>
      <c r="V25" s="4">
        <v>2297.0241999999998</v>
      </c>
      <c r="W25" s="4">
        <v>9891.7371000000003</v>
      </c>
      <c r="X25" s="4">
        <v>14433.173000000001</v>
      </c>
      <c r="Y25" s="4">
        <v>1847.0205000000001</v>
      </c>
      <c r="Z25" s="4">
        <v>12586.1525</v>
      </c>
      <c r="AA25" s="4">
        <v>2872.002</v>
      </c>
      <c r="AB25" s="4">
        <v>909.77520000000004</v>
      </c>
      <c r="AC25" s="4">
        <v>1962.2267999999999</v>
      </c>
      <c r="AD25" s="4">
        <v>43699.932399999998</v>
      </c>
      <c r="AE25" s="4">
        <v>28601.502700000001</v>
      </c>
      <c r="AF25" s="4">
        <v>33.896599999999999</v>
      </c>
      <c r="AG25" s="4">
        <v>15064.533100000001</v>
      </c>
      <c r="AH25" s="4">
        <v>4872.3284999999996</v>
      </c>
    </row>
    <row r="26" spans="1:34" x14ac:dyDescent="0.2">
      <c r="A26" s="3">
        <v>39600</v>
      </c>
      <c r="B26" s="4">
        <v>90320.728700000007</v>
      </c>
      <c r="C26" s="4">
        <v>208.09979999999999</v>
      </c>
      <c r="D26" s="4">
        <v>198.19139999999999</v>
      </c>
      <c r="E26" s="4">
        <v>9.9084000000000003</v>
      </c>
      <c r="F26" s="5">
        <v>5204.4450999999999</v>
      </c>
      <c r="G26" s="4">
        <v>0</v>
      </c>
      <c r="H26" s="4">
        <v>5204.4450999999999</v>
      </c>
      <c r="I26" s="4">
        <v>2723.0965999999999</v>
      </c>
      <c r="J26" s="5">
        <v>20547.019199999999</v>
      </c>
      <c r="K26" s="4">
        <v>1204.9907000000001</v>
      </c>
      <c r="L26" s="4">
        <v>19342.028600000001</v>
      </c>
      <c r="M26" s="4">
        <v>55080.506500000003</v>
      </c>
      <c r="N26" s="4">
        <v>54462.001400000001</v>
      </c>
      <c r="O26" s="4">
        <v>344.72140000000002</v>
      </c>
      <c r="P26" s="4">
        <v>273.78379999999999</v>
      </c>
      <c r="Q26" s="4">
        <v>6557.5614999999998</v>
      </c>
      <c r="R26" s="4">
        <v>-4225.4497000000001</v>
      </c>
      <c r="S26" s="4">
        <v>94546.178400000004</v>
      </c>
      <c r="T26" s="4">
        <v>35.6586</v>
      </c>
      <c r="U26" s="4">
        <v>15242.997300000001</v>
      </c>
      <c r="V26" s="4">
        <v>2995.93</v>
      </c>
      <c r="W26" s="4">
        <v>12247.067300000001</v>
      </c>
      <c r="X26" s="4">
        <v>18394.417099999999</v>
      </c>
      <c r="Y26" s="4">
        <v>1769.9621</v>
      </c>
      <c r="Z26" s="4">
        <v>16624.455000000002</v>
      </c>
      <c r="AA26" s="4">
        <v>3557.5758000000001</v>
      </c>
      <c r="AB26" s="4">
        <v>1267.5092</v>
      </c>
      <c r="AC26" s="4">
        <v>2290.0666000000001</v>
      </c>
      <c r="AD26" s="4">
        <v>52071.919099999999</v>
      </c>
      <c r="AE26" s="4">
        <v>32734.147499999999</v>
      </c>
      <c r="AF26" s="4">
        <v>37.889099999999999</v>
      </c>
      <c r="AG26" s="4">
        <v>19299.882399999999</v>
      </c>
      <c r="AH26" s="4">
        <v>5243.6106</v>
      </c>
    </row>
    <row r="27" spans="1:34" x14ac:dyDescent="0.2">
      <c r="A27" s="3">
        <v>39692</v>
      </c>
      <c r="B27" s="4">
        <v>97310.220300000001</v>
      </c>
      <c r="C27" s="4">
        <v>220.26140000000001</v>
      </c>
      <c r="D27" s="4">
        <v>209.60589999999999</v>
      </c>
      <c r="E27" s="4">
        <v>10.6556</v>
      </c>
      <c r="F27" s="5">
        <v>6155.5765000000001</v>
      </c>
      <c r="G27" s="4">
        <v>0</v>
      </c>
      <c r="H27" s="4">
        <v>6155.5765000000001</v>
      </c>
      <c r="I27" s="4">
        <v>2201.174</v>
      </c>
      <c r="J27" s="5">
        <v>23305.967100000002</v>
      </c>
      <c r="K27" s="4">
        <v>1371.5411999999999</v>
      </c>
      <c r="L27" s="4">
        <v>21934.425899999998</v>
      </c>
      <c r="M27" s="4">
        <v>58146.193599999999</v>
      </c>
      <c r="N27" s="4">
        <v>57603.1322</v>
      </c>
      <c r="O27" s="4">
        <v>300.2534</v>
      </c>
      <c r="P27" s="4">
        <v>242.80799999999999</v>
      </c>
      <c r="Q27" s="4">
        <v>7281.0478000000003</v>
      </c>
      <c r="R27" s="4">
        <v>3980.7766000000001</v>
      </c>
      <c r="S27" s="4">
        <v>93329.443799999994</v>
      </c>
      <c r="T27" s="4">
        <v>35.746499999999997</v>
      </c>
      <c r="U27" s="4">
        <v>16883.679499999998</v>
      </c>
      <c r="V27" s="4">
        <v>3292.3996999999999</v>
      </c>
      <c r="W27" s="4">
        <v>13591.2799</v>
      </c>
      <c r="X27" s="4">
        <v>20890.089599999999</v>
      </c>
      <c r="Y27" s="4">
        <v>2329.9573999999998</v>
      </c>
      <c r="Z27" s="4">
        <v>18560.1322</v>
      </c>
      <c r="AA27" s="4">
        <v>3688.46</v>
      </c>
      <c r="AB27" s="4">
        <v>1089.5572999999999</v>
      </c>
      <c r="AC27" s="4">
        <v>2598.9027999999998</v>
      </c>
      <c r="AD27" s="4">
        <v>47437.663699999997</v>
      </c>
      <c r="AE27" s="4">
        <v>33724.083500000001</v>
      </c>
      <c r="AF27" s="4">
        <v>36.175899999999999</v>
      </c>
      <c r="AG27" s="4">
        <v>13677.4043</v>
      </c>
      <c r="AH27" s="4">
        <v>4393.8044</v>
      </c>
    </row>
    <row r="28" spans="1:34" x14ac:dyDescent="0.2">
      <c r="A28" s="3">
        <v>39783</v>
      </c>
      <c r="B28" s="4">
        <v>102095.0974</v>
      </c>
      <c r="C28" s="4">
        <v>223.78909999999999</v>
      </c>
      <c r="D28" s="4">
        <v>211.21039999999999</v>
      </c>
      <c r="E28" s="4">
        <v>12.5787</v>
      </c>
      <c r="F28" s="5">
        <v>6407.1805000000004</v>
      </c>
      <c r="G28" s="4">
        <v>0</v>
      </c>
      <c r="H28" s="4">
        <v>6407.1805000000004</v>
      </c>
      <c r="I28" s="4">
        <v>639.3981</v>
      </c>
      <c r="J28" s="5">
        <v>27050.416000000001</v>
      </c>
      <c r="K28" s="4">
        <v>1856.1402</v>
      </c>
      <c r="L28" s="4">
        <v>25194.275799999999</v>
      </c>
      <c r="M28" s="4">
        <v>61011.039900000003</v>
      </c>
      <c r="N28" s="4">
        <v>60503.992599999998</v>
      </c>
      <c r="O28" s="4">
        <v>318.57</v>
      </c>
      <c r="P28" s="4">
        <v>188.47730000000001</v>
      </c>
      <c r="Q28" s="4">
        <v>6763.2736999999997</v>
      </c>
      <c r="R28" s="4">
        <v>5499.9880999999996</v>
      </c>
      <c r="S28" s="4">
        <v>96595.109400000001</v>
      </c>
      <c r="T28" s="4">
        <v>39.556800000000003</v>
      </c>
      <c r="U28" s="4">
        <v>15676.3066</v>
      </c>
      <c r="V28" s="4">
        <v>4090.5457999999999</v>
      </c>
      <c r="W28" s="4">
        <v>11585.7608</v>
      </c>
      <c r="X28" s="4">
        <v>26019.843199999999</v>
      </c>
      <c r="Y28" s="4">
        <v>3516.2716999999998</v>
      </c>
      <c r="Z28" s="4">
        <v>22503.571499999998</v>
      </c>
      <c r="AA28" s="4">
        <v>4362.0879000000004</v>
      </c>
      <c r="AB28" s="4">
        <v>1091.6167</v>
      </c>
      <c r="AC28" s="4">
        <v>3270.4712</v>
      </c>
      <c r="AD28" s="4">
        <v>46514.520100000002</v>
      </c>
      <c r="AE28" s="4">
        <v>35355.970099999999</v>
      </c>
      <c r="AF28" s="4">
        <v>35.969499999999996</v>
      </c>
      <c r="AG28" s="4">
        <v>11122.5805</v>
      </c>
      <c r="AH28" s="4">
        <v>3982.7948000000001</v>
      </c>
    </row>
    <row r="29" spans="1:34" x14ac:dyDescent="0.2">
      <c r="A29" s="3">
        <v>39873</v>
      </c>
      <c r="B29" s="4">
        <v>99355.9</v>
      </c>
      <c r="C29" s="4">
        <v>233.8683</v>
      </c>
      <c r="D29" s="4">
        <v>222.5102</v>
      </c>
      <c r="E29" s="4">
        <v>11.3581</v>
      </c>
      <c r="F29" s="5">
        <v>6713.1214</v>
      </c>
      <c r="G29" s="4">
        <v>0</v>
      </c>
      <c r="H29" s="4">
        <v>6713.1214</v>
      </c>
      <c r="I29" s="4">
        <v>990.57159999999999</v>
      </c>
      <c r="J29" s="5">
        <v>25803.328000000001</v>
      </c>
      <c r="K29" s="4">
        <v>2205.002</v>
      </c>
      <c r="L29" s="4">
        <v>23598.326000000001</v>
      </c>
      <c r="M29" s="4">
        <v>61155.218200000003</v>
      </c>
      <c r="N29" s="4">
        <v>60495.332199999997</v>
      </c>
      <c r="O29" s="4">
        <v>425.20080000000002</v>
      </c>
      <c r="P29" s="4">
        <v>234.68530000000001</v>
      </c>
      <c r="Q29" s="4">
        <v>4459.7924999999996</v>
      </c>
      <c r="R29" s="4">
        <v>9310.3040999999994</v>
      </c>
      <c r="S29" s="4">
        <v>90045.596000000005</v>
      </c>
      <c r="T29" s="4">
        <v>36.317900000000002</v>
      </c>
      <c r="U29" s="4">
        <v>14701.89</v>
      </c>
      <c r="V29" s="4">
        <v>4823.9675999999999</v>
      </c>
      <c r="W29" s="4">
        <v>9877.9225000000006</v>
      </c>
      <c r="X29" s="4">
        <v>23480.0085</v>
      </c>
      <c r="Y29" s="4">
        <v>2541.8128000000002</v>
      </c>
      <c r="Z29" s="4">
        <v>20938.195800000001</v>
      </c>
      <c r="AA29" s="4">
        <v>3930.2372</v>
      </c>
      <c r="AB29" s="4">
        <v>1042.4141999999999</v>
      </c>
      <c r="AC29" s="4">
        <v>2887.8229999999999</v>
      </c>
      <c r="AD29" s="4">
        <v>44284.855199999998</v>
      </c>
      <c r="AE29" s="4">
        <v>33850.92</v>
      </c>
      <c r="AF29" s="4">
        <v>42.1051</v>
      </c>
      <c r="AG29" s="4">
        <v>10391.8302</v>
      </c>
      <c r="AH29" s="4">
        <v>3612.2871</v>
      </c>
    </row>
    <row r="30" spans="1:34" x14ac:dyDescent="0.2">
      <c r="A30" s="3">
        <v>39965</v>
      </c>
      <c r="B30" s="4">
        <v>94613.126799999998</v>
      </c>
      <c r="C30" s="4">
        <v>218.816</v>
      </c>
      <c r="D30" s="4">
        <v>212.56909999999999</v>
      </c>
      <c r="E30" s="4">
        <v>6.2469000000000001</v>
      </c>
      <c r="F30" s="5">
        <v>5792.4534999999996</v>
      </c>
      <c r="G30" s="4">
        <v>0</v>
      </c>
      <c r="H30" s="4">
        <v>5792.4534999999996</v>
      </c>
      <c r="I30" s="4">
        <v>664.29729999999995</v>
      </c>
      <c r="J30" s="5">
        <v>23630.7035</v>
      </c>
      <c r="K30" s="4">
        <v>2291.5275999999999</v>
      </c>
      <c r="L30" s="4">
        <v>21339.175899999998</v>
      </c>
      <c r="M30" s="4">
        <v>60480.967700000001</v>
      </c>
      <c r="N30" s="4">
        <v>59761.268700000001</v>
      </c>
      <c r="O30" s="4">
        <v>473.74619999999999</v>
      </c>
      <c r="P30" s="4">
        <v>245.9528</v>
      </c>
      <c r="Q30" s="4">
        <v>3825.8888000000002</v>
      </c>
      <c r="R30" s="4">
        <v>7638.9587000000001</v>
      </c>
      <c r="S30" s="4">
        <v>86974.1682</v>
      </c>
      <c r="T30" s="4">
        <v>34.151400000000002</v>
      </c>
      <c r="U30" s="4">
        <v>10274.110500000001</v>
      </c>
      <c r="V30" s="4">
        <v>2924.1707000000001</v>
      </c>
      <c r="W30" s="4">
        <v>7349.9396999999999</v>
      </c>
      <c r="X30" s="4">
        <v>20941.579300000001</v>
      </c>
      <c r="Y30" s="4">
        <v>2685.1080000000002</v>
      </c>
      <c r="Z30" s="4">
        <v>18256.471300000001</v>
      </c>
      <c r="AA30" s="4">
        <v>3815.1131</v>
      </c>
      <c r="AB30" s="4">
        <v>1182.8106</v>
      </c>
      <c r="AC30" s="4">
        <v>2632.3024999999998</v>
      </c>
      <c r="AD30" s="4">
        <v>48342.1927</v>
      </c>
      <c r="AE30" s="4">
        <v>33708.535600000003</v>
      </c>
      <c r="AF30" s="4">
        <v>44.3795</v>
      </c>
      <c r="AG30" s="4">
        <v>14589.277700000001</v>
      </c>
      <c r="AH30" s="4">
        <v>3567.0212000000001</v>
      </c>
    </row>
    <row r="31" spans="1:34" x14ac:dyDescent="0.2">
      <c r="A31" s="3">
        <v>40057</v>
      </c>
      <c r="B31" s="4">
        <v>102411.86109999999</v>
      </c>
      <c r="C31" s="4">
        <v>210.46969999999999</v>
      </c>
      <c r="D31" s="4">
        <v>204.3398</v>
      </c>
      <c r="E31" s="4">
        <v>6.1299000000000001</v>
      </c>
      <c r="F31" s="5">
        <v>6607.5456999999997</v>
      </c>
      <c r="G31" s="4">
        <v>0</v>
      </c>
      <c r="H31" s="4">
        <v>6607.5456999999997</v>
      </c>
      <c r="I31" s="4">
        <v>1210.9641999999999</v>
      </c>
      <c r="J31" s="5">
        <v>25955.155500000001</v>
      </c>
      <c r="K31" s="4">
        <v>3188.7451999999998</v>
      </c>
      <c r="L31" s="4">
        <v>22766.4103</v>
      </c>
      <c r="M31" s="4">
        <v>64201.962299999999</v>
      </c>
      <c r="N31" s="4">
        <v>63410.737500000003</v>
      </c>
      <c r="O31" s="4">
        <v>484.81779999999998</v>
      </c>
      <c r="P31" s="4">
        <v>306.40710000000001</v>
      </c>
      <c r="Q31" s="4">
        <v>4225.7635</v>
      </c>
      <c r="R31" s="4">
        <v>2853.9614000000001</v>
      </c>
      <c r="S31" s="4">
        <v>99557.899699999994</v>
      </c>
      <c r="T31" s="4">
        <v>637.48059999999998</v>
      </c>
      <c r="U31" s="4">
        <v>10771.913200000001</v>
      </c>
      <c r="V31" s="4">
        <v>2953.2894000000001</v>
      </c>
      <c r="W31" s="4">
        <v>7818.6238000000003</v>
      </c>
      <c r="X31" s="4">
        <v>20843.857899999999</v>
      </c>
      <c r="Y31" s="4">
        <v>1883.5645</v>
      </c>
      <c r="Z31" s="4">
        <v>18960.293399999999</v>
      </c>
      <c r="AA31" s="4">
        <v>4178.1632</v>
      </c>
      <c r="AB31" s="4">
        <v>1294.0195000000001</v>
      </c>
      <c r="AC31" s="4">
        <v>2884.1437000000001</v>
      </c>
      <c r="AD31" s="4">
        <v>59260.049700000003</v>
      </c>
      <c r="AE31" s="4">
        <v>38192.553800000002</v>
      </c>
      <c r="AF31" s="4">
        <v>47.5169</v>
      </c>
      <c r="AG31" s="4">
        <v>21019.978999999999</v>
      </c>
      <c r="AH31" s="4">
        <v>3866.4351000000001</v>
      </c>
    </row>
    <row r="32" spans="1:34" x14ac:dyDescent="0.2">
      <c r="A32" s="3">
        <v>40148</v>
      </c>
      <c r="B32" s="4">
        <v>102076.82369999999</v>
      </c>
      <c r="C32" s="4">
        <v>303.12290000000002</v>
      </c>
      <c r="D32" s="4">
        <v>297.41469999999998</v>
      </c>
      <c r="E32" s="4">
        <v>5.7081999999999997</v>
      </c>
      <c r="F32" s="5">
        <v>6704.3026</v>
      </c>
      <c r="G32" s="4">
        <v>101.2054</v>
      </c>
      <c r="H32" s="4">
        <v>6603.0972000000002</v>
      </c>
      <c r="I32" s="4">
        <v>569.90150000000006</v>
      </c>
      <c r="J32" s="5">
        <v>26238.5903</v>
      </c>
      <c r="K32" s="4">
        <v>3859.4621999999999</v>
      </c>
      <c r="L32" s="4">
        <v>22379.128100000002</v>
      </c>
      <c r="M32" s="4">
        <v>63882.961600000002</v>
      </c>
      <c r="N32" s="4">
        <v>63103.230199999998</v>
      </c>
      <c r="O32" s="4">
        <v>476.45100000000002</v>
      </c>
      <c r="P32" s="4">
        <v>303.28039999999999</v>
      </c>
      <c r="Q32" s="4">
        <v>4377.9448000000002</v>
      </c>
      <c r="R32" s="4">
        <v>2434.3362000000002</v>
      </c>
      <c r="S32" s="4">
        <v>99642.487500000003</v>
      </c>
      <c r="T32" s="4">
        <v>583.4991</v>
      </c>
      <c r="U32" s="4">
        <v>10950.5013</v>
      </c>
      <c r="V32" s="4">
        <v>3426.2170999999998</v>
      </c>
      <c r="W32" s="4">
        <v>7524.2843000000003</v>
      </c>
      <c r="X32" s="4">
        <v>18711.9359</v>
      </c>
      <c r="Y32" s="4">
        <v>1624.5925999999999</v>
      </c>
      <c r="Z32" s="4">
        <v>17087.343400000002</v>
      </c>
      <c r="AA32" s="4">
        <v>3557.9137999999998</v>
      </c>
      <c r="AB32" s="4">
        <v>1211.3329000000001</v>
      </c>
      <c r="AC32" s="4">
        <v>2346.5808000000002</v>
      </c>
      <c r="AD32" s="4">
        <v>61684.370699999999</v>
      </c>
      <c r="AE32" s="4">
        <v>38030.655400000003</v>
      </c>
      <c r="AF32" s="4">
        <v>43.498800000000003</v>
      </c>
      <c r="AG32" s="4">
        <v>23610.216499999999</v>
      </c>
      <c r="AH32" s="4">
        <v>4154.2665999999999</v>
      </c>
    </row>
    <row r="33" spans="1:34" x14ac:dyDescent="0.2">
      <c r="A33" s="3">
        <v>40238</v>
      </c>
      <c r="B33" s="4">
        <v>109807.6768</v>
      </c>
      <c r="C33" s="4">
        <v>327.51389999999998</v>
      </c>
      <c r="D33" s="4">
        <v>321.51839999999999</v>
      </c>
      <c r="E33" s="4">
        <v>5.9955999999999996</v>
      </c>
      <c r="F33" s="5">
        <v>7056.0383000000002</v>
      </c>
      <c r="G33" s="4">
        <v>0</v>
      </c>
      <c r="H33" s="4">
        <v>7056.0383000000002</v>
      </c>
      <c r="I33" s="4">
        <v>1592.7893999999999</v>
      </c>
      <c r="J33" s="5">
        <v>27423.599099999999</v>
      </c>
      <c r="K33" s="4">
        <v>3411.3624</v>
      </c>
      <c r="L33" s="4">
        <v>24012.236700000001</v>
      </c>
      <c r="M33" s="4">
        <v>68810.805200000003</v>
      </c>
      <c r="N33" s="4">
        <v>67928.974300000002</v>
      </c>
      <c r="O33" s="4">
        <v>532.64559999999994</v>
      </c>
      <c r="P33" s="4">
        <v>349.18529999999998</v>
      </c>
      <c r="Q33" s="4">
        <v>4596.9309000000003</v>
      </c>
      <c r="R33" s="4">
        <v>-445.41770000000002</v>
      </c>
      <c r="S33" s="4">
        <v>110253.0946</v>
      </c>
      <c r="T33" s="4">
        <v>589.55020000000002</v>
      </c>
      <c r="U33" s="4">
        <v>11426.0587</v>
      </c>
      <c r="V33" s="4">
        <v>2739.1914999999999</v>
      </c>
      <c r="W33" s="4">
        <v>8686.8672000000006</v>
      </c>
      <c r="X33" s="4">
        <v>19154.431100000002</v>
      </c>
      <c r="Y33" s="4">
        <v>1503.8706999999999</v>
      </c>
      <c r="Z33" s="4">
        <v>17650.560399999998</v>
      </c>
      <c r="AA33" s="4">
        <v>3495.5111999999999</v>
      </c>
      <c r="AB33" s="4">
        <v>1081.9032</v>
      </c>
      <c r="AC33" s="4">
        <v>2413.6080000000002</v>
      </c>
      <c r="AD33" s="4">
        <v>67720.252699999997</v>
      </c>
      <c r="AE33" s="4">
        <v>40955.887600000002</v>
      </c>
      <c r="AF33" s="4">
        <v>47.7682</v>
      </c>
      <c r="AG33" s="4">
        <v>26716.5969</v>
      </c>
      <c r="AH33" s="4">
        <v>7867.2906000000003</v>
      </c>
    </row>
    <row r="34" spans="1:34" x14ac:dyDescent="0.2">
      <c r="A34" s="3">
        <v>40330</v>
      </c>
      <c r="B34" s="4">
        <v>114668.69010000001</v>
      </c>
      <c r="C34" s="4">
        <v>418.90679999999998</v>
      </c>
      <c r="D34" s="4">
        <v>414.49369999999999</v>
      </c>
      <c r="E34" s="4">
        <v>4.4131</v>
      </c>
      <c r="F34" s="5">
        <v>7908.7833000000001</v>
      </c>
      <c r="G34" s="4">
        <v>0</v>
      </c>
      <c r="H34" s="4">
        <v>7908.7833000000001</v>
      </c>
      <c r="I34" s="4">
        <v>1349.7043000000001</v>
      </c>
      <c r="J34" s="5">
        <v>29201.675999999999</v>
      </c>
      <c r="K34" s="4">
        <v>3721.0864000000001</v>
      </c>
      <c r="L34" s="4">
        <v>25480.589599999999</v>
      </c>
      <c r="M34" s="4">
        <v>70789.0579</v>
      </c>
      <c r="N34" s="4">
        <v>69925.707999999999</v>
      </c>
      <c r="O34" s="4">
        <v>493.41039999999998</v>
      </c>
      <c r="P34" s="4">
        <v>369.93950000000001</v>
      </c>
      <c r="Q34" s="4">
        <v>5000.5618999999997</v>
      </c>
      <c r="R34" s="4">
        <v>2651.7298999999998</v>
      </c>
      <c r="S34" s="4">
        <v>112016.96030000001</v>
      </c>
      <c r="T34" s="4">
        <v>639.91470000000004</v>
      </c>
      <c r="U34" s="4">
        <v>10517.6021</v>
      </c>
      <c r="V34" s="4">
        <v>2241.2231000000002</v>
      </c>
      <c r="W34" s="4">
        <v>8276.3790000000008</v>
      </c>
      <c r="X34" s="4">
        <v>19492.840800000002</v>
      </c>
      <c r="Y34" s="4">
        <v>1470.9983999999999</v>
      </c>
      <c r="Z34" s="4">
        <v>18021.842400000001</v>
      </c>
      <c r="AA34" s="4">
        <v>3938.0189</v>
      </c>
      <c r="AB34" s="4">
        <v>1219.8623</v>
      </c>
      <c r="AC34" s="4">
        <v>2718.1567</v>
      </c>
      <c r="AD34" s="4">
        <v>69568.234700000001</v>
      </c>
      <c r="AE34" s="4">
        <v>43378.178399999997</v>
      </c>
      <c r="AF34" s="4">
        <v>51.0488</v>
      </c>
      <c r="AG34" s="4">
        <v>26139.007399999999</v>
      </c>
      <c r="AH34" s="4">
        <v>7860.3490000000002</v>
      </c>
    </row>
    <row r="35" spans="1:34" x14ac:dyDescent="0.2">
      <c r="A35" s="3">
        <v>40422</v>
      </c>
      <c r="B35" s="4">
        <v>117722.44749999999</v>
      </c>
      <c r="C35" s="4">
        <v>420.6764</v>
      </c>
      <c r="D35" s="4">
        <v>414.60149999999999</v>
      </c>
      <c r="E35" s="4">
        <v>6.0749000000000004</v>
      </c>
      <c r="F35" s="5">
        <v>8989.2517000000007</v>
      </c>
      <c r="G35" s="4">
        <v>97.150300000000001</v>
      </c>
      <c r="H35" s="4">
        <v>8892.1013999999996</v>
      </c>
      <c r="I35" s="4">
        <v>1302.1883</v>
      </c>
      <c r="J35" s="5">
        <v>27076.212500000001</v>
      </c>
      <c r="K35" s="4">
        <v>3378.7505000000001</v>
      </c>
      <c r="L35" s="4">
        <v>23697.462</v>
      </c>
      <c r="M35" s="4">
        <v>75094.372900000002</v>
      </c>
      <c r="N35" s="4">
        <v>74311.137400000007</v>
      </c>
      <c r="O35" s="4">
        <v>388.38760000000002</v>
      </c>
      <c r="P35" s="4">
        <v>394.84780000000001</v>
      </c>
      <c r="Q35" s="4">
        <v>4839.7457999999997</v>
      </c>
      <c r="R35" s="4">
        <v>5609.0706</v>
      </c>
      <c r="S35" s="4">
        <v>112113.3769</v>
      </c>
      <c r="T35" s="4">
        <v>601.76760000000002</v>
      </c>
      <c r="U35" s="4">
        <v>9235.7491000000009</v>
      </c>
      <c r="V35" s="4">
        <v>2408.2444999999998</v>
      </c>
      <c r="W35" s="4">
        <v>6827.5047000000004</v>
      </c>
      <c r="X35" s="4">
        <v>20328.632600000001</v>
      </c>
      <c r="Y35" s="4">
        <v>1944.32</v>
      </c>
      <c r="Z35" s="4">
        <v>18384.312600000001</v>
      </c>
      <c r="AA35" s="4">
        <v>3650.8978999999999</v>
      </c>
      <c r="AB35" s="4">
        <v>1186.2825</v>
      </c>
      <c r="AC35" s="4">
        <v>2464.6154000000001</v>
      </c>
      <c r="AD35" s="4">
        <v>71310.014299999995</v>
      </c>
      <c r="AE35" s="4">
        <v>43207.1178</v>
      </c>
      <c r="AF35" s="4">
        <v>45.688800000000001</v>
      </c>
      <c r="AG35" s="4">
        <v>28057.207699999999</v>
      </c>
      <c r="AH35" s="4">
        <v>6986.3154000000004</v>
      </c>
    </row>
    <row r="36" spans="1:34" x14ac:dyDescent="0.2">
      <c r="A36" s="3">
        <v>40513</v>
      </c>
      <c r="B36" s="4">
        <v>118341.01059999999</v>
      </c>
      <c r="C36" s="4">
        <v>432.67739999999998</v>
      </c>
      <c r="D36" s="4">
        <v>426.71769999999998</v>
      </c>
      <c r="E36" s="4">
        <v>5.9596999999999998</v>
      </c>
      <c r="F36" s="5">
        <v>9707.4845000000005</v>
      </c>
      <c r="G36" s="4">
        <v>177.27250000000001</v>
      </c>
      <c r="H36" s="4">
        <v>9530.2119999999995</v>
      </c>
      <c r="I36" s="4">
        <v>1272.4304999999999</v>
      </c>
      <c r="J36" s="5">
        <v>26034.754300000001</v>
      </c>
      <c r="K36" s="4">
        <v>2629.049</v>
      </c>
      <c r="L36" s="4">
        <v>23405.705399999999</v>
      </c>
      <c r="M36" s="4">
        <v>75872.488500000007</v>
      </c>
      <c r="N36" s="4">
        <v>75068.935599999997</v>
      </c>
      <c r="O36" s="4">
        <v>412.06599999999997</v>
      </c>
      <c r="P36" s="4">
        <v>391.48680000000002</v>
      </c>
      <c r="Q36" s="4">
        <v>5021.1754000000001</v>
      </c>
      <c r="R36" s="4">
        <v>5094.6578</v>
      </c>
      <c r="S36" s="4">
        <v>113246.35279999999</v>
      </c>
      <c r="T36" s="4">
        <v>575.39239999999995</v>
      </c>
      <c r="U36" s="4">
        <v>10413.9555</v>
      </c>
      <c r="V36" s="4">
        <v>2728.0763999999999</v>
      </c>
      <c r="W36" s="4">
        <v>7685.8789999999999</v>
      </c>
      <c r="X36" s="4">
        <v>20414.916000000001</v>
      </c>
      <c r="Y36" s="4">
        <v>2447.5626000000002</v>
      </c>
      <c r="Z36" s="4">
        <v>17967.353500000001</v>
      </c>
      <c r="AA36" s="4">
        <v>3558.5383000000002</v>
      </c>
      <c r="AB36" s="4">
        <v>1218.9376</v>
      </c>
      <c r="AC36" s="4">
        <v>2339.6007</v>
      </c>
      <c r="AD36" s="4">
        <v>71778.113700000002</v>
      </c>
      <c r="AE36" s="4">
        <v>43070.3226</v>
      </c>
      <c r="AF36" s="4">
        <v>50.034100000000002</v>
      </c>
      <c r="AG36" s="4">
        <v>28657.757000000001</v>
      </c>
      <c r="AH36" s="4">
        <v>6505.4368999999997</v>
      </c>
    </row>
    <row r="37" spans="1:34" x14ac:dyDescent="0.2">
      <c r="A37" s="3">
        <v>40603</v>
      </c>
      <c r="B37" s="4">
        <v>124059.2638</v>
      </c>
      <c r="C37" s="4">
        <v>401.22539999999998</v>
      </c>
      <c r="D37" s="4">
        <v>395.03300000000002</v>
      </c>
      <c r="E37" s="4">
        <v>6.1924999999999999</v>
      </c>
      <c r="F37" s="5">
        <v>10840.013300000001</v>
      </c>
      <c r="G37" s="4">
        <v>101.2796</v>
      </c>
      <c r="H37" s="4">
        <v>10738.7338</v>
      </c>
      <c r="I37" s="4">
        <v>1197.4816000000001</v>
      </c>
      <c r="J37" s="5">
        <v>27727.534</v>
      </c>
      <c r="K37" s="4">
        <v>3165.7008999999998</v>
      </c>
      <c r="L37" s="4">
        <v>24561.8331</v>
      </c>
      <c r="M37" s="4">
        <v>78531.923200000005</v>
      </c>
      <c r="N37" s="4">
        <v>77732.783200000005</v>
      </c>
      <c r="O37" s="4">
        <v>413.03719999999998</v>
      </c>
      <c r="P37" s="4">
        <v>386.1028</v>
      </c>
      <c r="Q37" s="4">
        <v>5361.0862999999999</v>
      </c>
      <c r="R37" s="4">
        <v>296.6936</v>
      </c>
      <c r="S37" s="4">
        <v>123762.5702</v>
      </c>
      <c r="T37" s="4">
        <v>609.75170000000003</v>
      </c>
      <c r="U37" s="4">
        <v>14157.2768</v>
      </c>
      <c r="V37" s="4">
        <v>4783.5695999999998</v>
      </c>
      <c r="W37" s="4">
        <v>9373.7073</v>
      </c>
      <c r="X37" s="4">
        <v>22483.910199999998</v>
      </c>
      <c r="Y37" s="4">
        <v>2670.7044999999998</v>
      </c>
      <c r="Z37" s="4">
        <v>19813.205699999999</v>
      </c>
      <c r="AA37" s="4">
        <v>3935.5666999999999</v>
      </c>
      <c r="AB37" s="4">
        <v>1252.5633</v>
      </c>
      <c r="AC37" s="4">
        <v>2683.0034999999998</v>
      </c>
      <c r="AD37" s="4">
        <v>75836.531300000002</v>
      </c>
      <c r="AE37" s="4">
        <v>46366.929400000001</v>
      </c>
      <c r="AF37" s="4">
        <v>51.830100000000002</v>
      </c>
      <c r="AG37" s="4">
        <v>29417.771700000001</v>
      </c>
      <c r="AH37" s="4">
        <v>6739.5334000000003</v>
      </c>
    </row>
    <row r="38" spans="1:34" x14ac:dyDescent="0.2">
      <c r="A38" s="3">
        <v>40695</v>
      </c>
      <c r="B38" s="4">
        <v>125671.2481</v>
      </c>
      <c r="C38" s="4">
        <v>390.60230000000001</v>
      </c>
      <c r="D38" s="4">
        <v>386.09019999999998</v>
      </c>
      <c r="E38" s="4">
        <v>4.5121000000000002</v>
      </c>
      <c r="F38" s="5">
        <v>10837.6031</v>
      </c>
      <c r="G38" s="4">
        <v>94.225999999999999</v>
      </c>
      <c r="H38" s="4">
        <v>10743.3771</v>
      </c>
      <c r="I38" s="4">
        <v>1043.8506</v>
      </c>
      <c r="J38" s="5">
        <v>27935.510900000001</v>
      </c>
      <c r="K38" s="4">
        <v>3134.5758000000001</v>
      </c>
      <c r="L38" s="4">
        <v>24800.935099999999</v>
      </c>
      <c r="M38" s="4">
        <v>79952.613299999997</v>
      </c>
      <c r="N38" s="4">
        <v>79165.4378</v>
      </c>
      <c r="O38" s="4">
        <v>404.45229999999998</v>
      </c>
      <c r="P38" s="4">
        <v>382.72320000000002</v>
      </c>
      <c r="Q38" s="4">
        <v>5511.0679</v>
      </c>
      <c r="R38" s="4">
        <v>3175.8852999999999</v>
      </c>
      <c r="S38" s="4">
        <v>122495.3628</v>
      </c>
      <c r="T38" s="4">
        <v>602.0095</v>
      </c>
      <c r="U38" s="4">
        <v>12214.201800000001</v>
      </c>
      <c r="V38" s="4">
        <v>3990.8335999999999</v>
      </c>
      <c r="W38" s="4">
        <v>8223.3682000000008</v>
      </c>
      <c r="X38" s="4">
        <v>25115.0396</v>
      </c>
      <c r="Y38" s="4">
        <v>2588.9944999999998</v>
      </c>
      <c r="Z38" s="4">
        <v>22526.045099999999</v>
      </c>
      <c r="AA38" s="4">
        <v>4078.7957999999999</v>
      </c>
      <c r="AB38" s="4">
        <v>1300.5314000000001</v>
      </c>
      <c r="AC38" s="4">
        <v>2778.2645000000002</v>
      </c>
      <c r="AD38" s="4">
        <v>74093.040800000002</v>
      </c>
      <c r="AE38" s="4">
        <v>47357.322399999997</v>
      </c>
      <c r="AF38" s="4">
        <v>53.981999999999999</v>
      </c>
      <c r="AG38" s="4">
        <v>26681.736400000002</v>
      </c>
      <c r="AH38" s="4">
        <v>6392.2753000000002</v>
      </c>
    </row>
    <row r="39" spans="1:34" x14ac:dyDescent="0.2">
      <c r="A39" s="3">
        <v>40787</v>
      </c>
      <c r="B39" s="4">
        <v>132329.05059999999</v>
      </c>
      <c r="C39" s="4">
        <v>383.15010000000001</v>
      </c>
      <c r="D39" s="4">
        <v>378.19639999999998</v>
      </c>
      <c r="E39" s="4">
        <v>4.9538000000000002</v>
      </c>
      <c r="F39" s="5">
        <v>12297.2899</v>
      </c>
      <c r="G39" s="4">
        <v>0</v>
      </c>
      <c r="H39" s="4">
        <v>12297.2899</v>
      </c>
      <c r="I39" s="4">
        <v>1015.9202</v>
      </c>
      <c r="J39" s="5">
        <v>30762.4974</v>
      </c>
      <c r="K39" s="4">
        <v>3311.7239</v>
      </c>
      <c r="L39" s="4">
        <v>27450.773499999999</v>
      </c>
      <c r="M39" s="4">
        <v>81432.884099999996</v>
      </c>
      <c r="N39" s="4">
        <v>80661.349799999996</v>
      </c>
      <c r="O39" s="4">
        <v>432.96620000000001</v>
      </c>
      <c r="P39" s="4">
        <v>338.56810000000002</v>
      </c>
      <c r="Q39" s="4">
        <v>6437.3086999999996</v>
      </c>
      <c r="R39" s="4">
        <v>7040.3127000000004</v>
      </c>
      <c r="S39" s="4">
        <v>125288.73789999999</v>
      </c>
      <c r="T39" s="4">
        <v>642.94290000000001</v>
      </c>
      <c r="U39" s="4">
        <v>14334.578600000001</v>
      </c>
      <c r="V39" s="4">
        <v>5023.6598000000004</v>
      </c>
      <c r="W39" s="4">
        <v>9310.9187999999995</v>
      </c>
      <c r="X39" s="4">
        <v>30310.494999999999</v>
      </c>
      <c r="Y39" s="4">
        <v>3411.9009000000001</v>
      </c>
      <c r="Z39" s="4">
        <v>26898.594099999998</v>
      </c>
      <c r="AA39" s="4">
        <v>4722.3984</v>
      </c>
      <c r="AB39" s="4">
        <v>1498.0689</v>
      </c>
      <c r="AC39" s="4">
        <v>3224.3294999999998</v>
      </c>
      <c r="AD39" s="4">
        <v>68746.266799999998</v>
      </c>
      <c r="AE39" s="4">
        <v>48007.5314</v>
      </c>
      <c r="AF39" s="4">
        <v>45.858800000000002</v>
      </c>
      <c r="AG39" s="4">
        <v>20692.8766</v>
      </c>
      <c r="AH39" s="4">
        <v>6532.0564000000004</v>
      </c>
    </row>
    <row r="40" spans="1:34" x14ac:dyDescent="0.2">
      <c r="A40" s="3">
        <v>40878</v>
      </c>
      <c r="B40" s="4">
        <v>144133.2414</v>
      </c>
      <c r="C40" s="4">
        <v>408.55399999999997</v>
      </c>
      <c r="D40" s="4">
        <v>400.59309999999999</v>
      </c>
      <c r="E40" s="4">
        <v>7.9607999999999999</v>
      </c>
      <c r="F40" s="5">
        <v>13561.956</v>
      </c>
      <c r="G40" s="4">
        <v>70.556100000000001</v>
      </c>
      <c r="H40" s="4">
        <v>13491.3999</v>
      </c>
      <c r="I40" s="4">
        <v>709.36260000000004</v>
      </c>
      <c r="J40" s="5">
        <v>32262.6325</v>
      </c>
      <c r="K40" s="4">
        <v>3598.6061</v>
      </c>
      <c r="L40" s="4">
        <v>28664.026399999999</v>
      </c>
      <c r="M40" s="4">
        <v>90707.636400000003</v>
      </c>
      <c r="N40" s="4">
        <v>89934.165099999998</v>
      </c>
      <c r="O40" s="4">
        <v>451.03989999999999</v>
      </c>
      <c r="P40" s="4">
        <v>322.4314</v>
      </c>
      <c r="Q40" s="4">
        <v>6483.1</v>
      </c>
      <c r="R40" s="4">
        <v>9452.1316000000006</v>
      </c>
      <c r="S40" s="4">
        <v>134681.10980000001</v>
      </c>
      <c r="T40" s="4">
        <v>639.61320000000001</v>
      </c>
      <c r="U40" s="4">
        <v>14322.240100000001</v>
      </c>
      <c r="V40" s="4">
        <v>4263.4728999999998</v>
      </c>
      <c r="W40" s="4">
        <v>10058.7673</v>
      </c>
      <c r="X40" s="4">
        <v>34089.232900000003</v>
      </c>
      <c r="Y40" s="4">
        <v>3620.07</v>
      </c>
      <c r="Z40" s="4">
        <v>30469.162899999999</v>
      </c>
      <c r="AA40" s="4">
        <v>5385.5655999999999</v>
      </c>
      <c r="AB40" s="4">
        <v>1470.9277999999999</v>
      </c>
      <c r="AC40" s="4">
        <v>3914.6378</v>
      </c>
      <c r="AD40" s="4">
        <v>73388.448999999993</v>
      </c>
      <c r="AE40" s="4">
        <v>52010.458599999998</v>
      </c>
      <c r="AF40" s="4">
        <v>52.191000000000003</v>
      </c>
      <c r="AG40" s="4">
        <v>21325.7994</v>
      </c>
      <c r="AH40" s="4">
        <v>6856.009</v>
      </c>
    </row>
    <row r="41" spans="1:34" x14ac:dyDescent="0.2">
      <c r="A41" s="3">
        <v>40969</v>
      </c>
      <c r="B41" s="4">
        <v>143929.53390000001</v>
      </c>
      <c r="C41" s="4">
        <v>444.61559999999997</v>
      </c>
      <c r="D41" s="4">
        <v>437.7106</v>
      </c>
      <c r="E41" s="4">
        <v>6.9050000000000002</v>
      </c>
      <c r="F41" s="5">
        <v>14881.001399999999</v>
      </c>
      <c r="G41" s="4">
        <v>705.29459999999995</v>
      </c>
      <c r="H41" s="4">
        <v>14175.706700000001</v>
      </c>
      <c r="I41" s="4">
        <v>900.49350000000004</v>
      </c>
      <c r="J41" s="5">
        <v>30669.8995</v>
      </c>
      <c r="K41" s="4">
        <v>3508.1722</v>
      </c>
      <c r="L41" s="4">
        <v>27161.727299999999</v>
      </c>
      <c r="M41" s="4">
        <v>91183.687999999995</v>
      </c>
      <c r="N41" s="4">
        <v>90390.146099999998</v>
      </c>
      <c r="O41" s="4">
        <v>445.25819999999999</v>
      </c>
      <c r="P41" s="4">
        <v>348.28379999999999</v>
      </c>
      <c r="Q41" s="4">
        <v>5849.8359</v>
      </c>
      <c r="R41" s="4">
        <v>12423.0623</v>
      </c>
      <c r="S41" s="4">
        <v>131506.47159999999</v>
      </c>
      <c r="T41" s="4">
        <v>606.63070000000005</v>
      </c>
      <c r="U41" s="4">
        <v>10998.256100000001</v>
      </c>
      <c r="V41" s="4">
        <v>3728.8148000000001</v>
      </c>
      <c r="W41" s="4">
        <v>7269.4413000000004</v>
      </c>
      <c r="X41" s="4">
        <v>33203.839500000002</v>
      </c>
      <c r="Y41" s="4">
        <v>2633.4956999999999</v>
      </c>
      <c r="Z41" s="4">
        <v>30570.343799999999</v>
      </c>
      <c r="AA41" s="4">
        <v>5886.3229000000001</v>
      </c>
      <c r="AB41" s="4">
        <v>1648.0536999999999</v>
      </c>
      <c r="AC41" s="4">
        <v>4238.2691999999997</v>
      </c>
      <c r="AD41" s="4">
        <v>74602.760800000004</v>
      </c>
      <c r="AE41" s="4">
        <v>50269.315000000002</v>
      </c>
      <c r="AF41" s="4">
        <v>393.04090000000002</v>
      </c>
      <c r="AG41" s="4">
        <v>23940.404900000001</v>
      </c>
      <c r="AH41" s="4">
        <v>6208.6616000000004</v>
      </c>
    </row>
    <row r="42" spans="1:34" x14ac:dyDescent="0.2">
      <c r="A42" s="3">
        <v>41061</v>
      </c>
      <c r="B42" s="4">
        <v>152469.3413</v>
      </c>
      <c r="C42" s="4">
        <v>484.76280000000003</v>
      </c>
      <c r="D42" s="4">
        <v>480.08600000000001</v>
      </c>
      <c r="E42" s="4">
        <v>4.6768000000000001</v>
      </c>
      <c r="F42" s="5">
        <v>15946.3711</v>
      </c>
      <c r="G42" s="4">
        <v>1087.5147999999999</v>
      </c>
      <c r="H42" s="4">
        <v>14858.856299999999</v>
      </c>
      <c r="I42" s="4">
        <v>835.80119999999999</v>
      </c>
      <c r="J42" s="5">
        <v>33187.547599999998</v>
      </c>
      <c r="K42" s="4">
        <v>3807.7197999999999</v>
      </c>
      <c r="L42" s="4">
        <v>29379.827799999999</v>
      </c>
      <c r="M42" s="4">
        <v>95942.703299999994</v>
      </c>
      <c r="N42" s="4">
        <v>95081.975900000005</v>
      </c>
      <c r="O42" s="4">
        <v>490.70260000000002</v>
      </c>
      <c r="P42" s="4">
        <v>370.02480000000003</v>
      </c>
      <c r="Q42" s="4">
        <v>6072.1553999999996</v>
      </c>
      <c r="R42" s="4">
        <v>16218.6337</v>
      </c>
      <c r="S42" s="4">
        <v>136250.70759999999</v>
      </c>
      <c r="T42" s="4">
        <v>614.28240000000005</v>
      </c>
      <c r="U42" s="4">
        <v>11201.18</v>
      </c>
      <c r="V42" s="4">
        <v>3119.3442</v>
      </c>
      <c r="W42" s="4">
        <v>8081.8357999999998</v>
      </c>
      <c r="X42" s="4">
        <v>35556.2912</v>
      </c>
      <c r="Y42" s="4">
        <v>2694.5868999999998</v>
      </c>
      <c r="Z42" s="4">
        <v>32861.704299999998</v>
      </c>
      <c r="AA42" s="4">
        <v>6538.8009000000002</v>
      </c>
      <c r="AB42" s="4">
        <v>1786.5831000000001</v>
      </c>
      <c r="AC42" s="4">
        <v>4752.2178000000004</v>
      </c>
      <c r="AD42" s="4">
        <v>75992.048999999999</v>
      </c>
      <c r="AE42" s="4">
        <v>53152.873200000002</v>
      </c>
      <c r="AF42" s="4">
        <v>494.18239999999997</v>
      </c>
      <c r="AG42" s="4">
        <v>22344.9935</v>
      </c>
      <c r="AH42" s="4">
        <v>6348.1040999999996</v>
      </c>
    </row>
    <row r="43" spans="1:34" x14ac:dyDescent="0.2">
      <c r="A43" s="3">
        <v>41153</v>
      </c>
      <c r="B43" s="4">
        <v>147776.58730000001</v>
      </c>
      <c r="C43" s="4">
        <v>392.06200000000001</v>
      </c>
      <c r="D43" s="4">
        <v>388.0985</v>
      </c>
      <c r="E43" s="4">
        <v>3.9634999999999998</v>
      </c>
      <c r="F43" s="5">
        <v>16627.7353</v>
      </c>
      <c r="G43" s="4">
        <v>982.97</v>
      </c>
      <c r="H43" s="4">
        <v>15644.765299999999</v>
      </c>
      <c r="I43" s="4">
        <v>513.7002</v>
      </c>
      <c r="J43" s="5">
        <v>32321.003199999999</v>
      </c>
      <c r="K43" s="4">
        <v>3802.4290000000001</v>
      </c>
      <c r="L43" s="4">
        <v>28518.574199999999</v>
      </c>
      <c r="M43" s="4">
        <v>92320.568400000004</v>
      </c>
      <c r="N43" s="4">
        <v>91487.548500000004</v>
      </c>
      <c r="O43" s="4">
        <v>508.76459999999997</v>
      </c>
      <c r="P43" s="4">
        <v>324.25529999999998</v>
      </c>
      <c r="Q43" s="4">
        <v>5601.5182999999997</v>
      </c>
      <c r="R43" s="4">
        <v>15345.038200000001</v>
      </c>
      <c r="S43" s="4">
        <v>132431.5491</v>
      </c>
      <c r="T43" s="4">
        <v>576.8963</v>
      </c>
      <c r="U43" s="4">
        <v>11465.6569</v>
      </c>
      <c r="V43" s="4">
        <v>4113.6242000000002</v>
      </c>
      <c r="W43" s="4">
        <v>7352.0326999999997</v>
      </c>
      <c r="X43" s="4">
        <v>33665.1927</v>
      </c>
      <c r="Y43" s="4">
        <v>2581.1815000000001</v>
      </c>
      <c r="Z43" s="4">
        <v>31084.0111</v>
      </c>
      <c r="AA43" s="4">
        <v>6807.7003999999997</v>
      </c>
      <c r="AB43" s="4">
        <v>1302.8126999999999</v>
      </c>
      <c r="AC43" s="4">
        <v>5504.8877000000002</v>
      </c>
      <c r="AD43" s="4">
        <v>75111.607300000003</v>
      </c>
      <c r="AE43" s="4">
        <v>52351.294999999998</v>
      </c>
      <c r="AF43" s="4">
        <v>634.76260000000002</v>
      </c>
      <c r="AG43" s="4">
        <v>22125.5497</v>
      </c>
      <c r="AH43" s="4">
        <v>4804.4956000000002</v>
      </c>
    </row>
    <row r="44" spans="1:34" x14ac:dyDescent="0.2">
      <c r="A44" s="3">
        <v>41244</v>
      </c>
      <c r="B44" s="4">
        <v>158529.3756</v>
      </c>
      <c r="C44" s="4">
        <v>671.28629999999998</v>
      </c>
      <c r="D44" s="4">
        <v>668.19200000000001</v>
      </c>
      <c r="E44" s="4">
        <v>3.0943000000000001</v>
      </c>
      <c r="F44" s="5">
        <v>17371.282800000001</v>
      </c>
      <c r="G44" s="4">
        <v>582.66510000000005</v>
      </c>
      <c r="H44" s="4">
        <v>16788.617699999999</v>
      </c>
      <c r="I44" s="4">
        <v>908.90430000000003</v>
      </c>
      <c r="J44" s="5">
        <v>36601.249900000003</v>
      </c>
      <c r="K44" s="4">
        <v>4399.3330999999998</v>
      </c>
      <c r="L44" s="4">
        <v>32201.916700000002</v>
      </c>
      <c r="M44" s="4">
        <v>97214.381399999998</v>
      </c>
      <c r="N44" s="4">
        <v>96372.271200000003</v>
      </c>
      <c r="O44" s="4">
        <v>489.06310000000002</v>
      </c>
      <c r="P44" s="4">
        <v>353.0471</v>
      </c>
      <c r="Q44" s="4">
        <v>5762.2709999999997</v>
      </c>
      <c r="R44" s="4">
        <v>16331.4925</v>
      </c>
      <c r="S44" s="4">
        <v>142197.88320000001</v>
      </c>
      <c r="T44" s="4">
        <v>586.13840000000005</v>
      </c>
      <c r="U44" s="4">
        <v>12897.495000000001</v>
      </c>
      <c r="V44" s="4">
        <v>3230.1714000000002</v>
      </c>
      <c r="W44" s="4">
        <v>9667.3235000000004</v>
      </c>
      <c r="X44" s="4">
        <v>36216.071100000001</v>
      </c>
      <c r="Y44" s="4">
        <v>3165.8827000000001</v>
      </c>
      <c r="Z44" s="4">
        <v>33050.188399999999</v>
      </c>
      <c r="AA44" s="4">
        <v>6746.3289999999997</v>
      </c>
      <c r="AB44" s="4">
        <v>935.09490000000005</v>
      </c>
      <c r="AC44" s="4">
        <v>5811.2340000000004</v>
      </c>
      <c r="AD44" s="4">
        <v>80161.217699999994</v>
      </c>
      <c r="AE44" s="4">
        <v>55937.024799999999</v>
      </c>
      <c r="AF44" s="4">
        <v>651.13310000000001</v>
      </c>
      <c r="AG44" s="4">
        <v>23573.059799999999</v>
      </c>
      <c r="AH44" s="4">
        <v>5590.6320999999998</v>
      </c>
    </row>
    <row r="45" spans="1:34" x14ac:dyDescent="0.2">
      <c r="A45" s="3">
        <v>41334</v>
      </c>
      <c r="B45" s="4">
        <v>161907.30840000001</v>
      </c>
      <c r="C45" s="4">
        <v>577.97029999999995</v>
      </c>
      <c r="D45" s="4">
        <v>575.45219999999995</v>
      </c>
      <c r="E45" s="4">
        <v>2.5181</v>
      </c>
      <c r="F45" s="5">
        <v>18400.3109</v>
      </c>
      <c r="G45" s="4">
        <v>392.91539999999998</v>
      </c>
      <c r="H45" s="4">
        <v>18007.395499999999</v>
      </c>
      <c r="I45" s="4">
        <v>112.17189999999999</v>
      </c>
      <c r="J45" s="5">
        <v>36262.137799999997</v>
      </c>
      <c r="K45" s="4">
        <v>3984.4463000000001</v>
      </c>
      <c r="L45" s="4">
        <v>32277.691500000001</v>
      </c>
      <c r="M45" s="4">
        <v>101555.76119999999</v>
      </c>
      <c r="N45" s="4">
        <v>100646.3315</v>
      </c>
      <c r="O45" s="4">
        <v>530.85940000000005</v>
      </c>
      <c r="P45" s="4">
        <v>378.5702</v>
      </c>
      <c r="Q45" s="4">
        <v>4998.9561999999996</v>
      </c>
      <c r="R45" s="4">
        <v>16962.735499999999</v>
      </c>
      <c r="S45" s="4">
        <v>144944.57279999999</v>
      </c>
      <c r="T45" s="4">
        <v>564.08439999999996</v>
      </c>
      <c r="U45" s="4">
        <v>13055.411099999999</v>
      </c>
      <c r="V45" s="4">
        <v>3861.6028999999999</v>
      </c>
      <c r="W45" s="4">
        <v>9193.8081999999995</v>
      </c>
      <c r="X45" s="4">
        <v>35959.7166</v>
      </c>
      <c r="Y45" s="4">
        <v>3406.1433999999999</v>
      </c>
      <c r="Z45" s="4">
        <v>32553.573199999999</v>
      </c>
      <c r="AA45" s="4">
        <v>7165.5409</v>
      </c>
      <c r="AB45" s="4">
        <v>1047.3788</v>
      </c>
      <c r="AC45" s="4">
        <v>6118.1621999999998</v>
      </c>
      <c r="AD45" s="4">
        <v>83609.037400000001</v>
      </c>
      <c r="AE45" s="4">
        <v>58116.6662</v>
      </c>
      <c r="AF45" s="4">
        <v>586.29880000000003</v>
      </c>
      <c r="AG45" s="4">
        <v>24906.072400000001</v>
      </c>
      <c r="AH45" s="4">
        <v>4590.7824000000001</v>
      </c>
    </row>
    <row r="46" spans="1:34" x14ac:dyDescent="0.2">
      <c r="A46" s="3">
        <v>41426</v>
      </c>
      <c r="B46" s="4">
        <v>165269.28450000001</v>
      </c>
      <c r="C46" s="4">
        <v>539.13170000000002</v>
      </c>
      <c r="D46" s="4">
        <v>537.23230000000001</v>
      </c>
      <c r="E46" s="4">
        <v>1.8994</v>
      </c>
      <c r="F46" s="5">
        <v>20125.120200000001</v>
      </c>
      <c r="G46" s="4">
        <v>293.90289999999999</v>
      </c>
      <c r="H46" s="4">
        <v>19831.2173</v>
      </c>
      <c r="I46" s="4">
        <v>299.83670000000001</v>
      </c>
      <c r="J46" s="5">
        <v>38331.880400000002</v>
      </c>
      <c r="K46" s="4">
        <v>2803.7516000000001</v>
      </c>
      <c r="L46" s="4">
        <v>35528.128700000001</v>
      </c>
      <c r="M46" s="4">
        <v>100747.4745</v>
      </c>
      <c r="N46" s="4">
        <v>99807.287200000006</v>
      </c>
      <c r="O46" s="4">
        <v>567.07650000000001</v>
      </c>
      <c r="P46" s="4">
        <v>373.11079999999998</v>
      </c>
      <c r="Q46" s="4">
        <v>5225.8410000000003</v>
      </c>
      <c r="R46" s="4">
        <v>16298.876</v>
      </c>
      <c r="S46" s="4">
        <v>148970.40849999999</v>
      </c>
      <c r="T46" s="4">
        <v>564.49260000000004</v>
      </c>
      <c r="U46" s="4">
        <v>14349.456899999999</v>
      </c>
      <c r="V46" s="4">
        <v>3926.6979000000001</v>
      </c>
      <c r="W46" s="4">
        <v>10422.759099999999</v>
      </c>
      <c r="X46" s="4">
        <v>34670.633999999998</v>
      </c>
      <c r="Y46" s="4">
        <v>2729.2964999999999</v>
      </c>
      <c r="Z46" s="4">
        <v>31941.337599999999</v>
      </c>
      <c r="AA46" s="4">
        <v>7626.0474000000004</v>
      </c>
      <c r="AB46" s="4">
        <v>966.05769999999995</v>
      </c>
      <c r="AC46" s="4">
        <v>6659.9897000000001</v>
      </c>
      <c r="AD46" s="4">
        <v>85939.313500000004</v>
      </c>
      <c r="AE46" s="4">
        <v>61316.442000000003</v>
      </c>
      <c r="AF46" s="4">
        <v>603.2595</v>
      </c>
      <c r="AG46" s="4">
        <v>24019.612000000001</v>
      </c>
      <c r="AH46" s="4">
        <v>5820.4641000000001</v>
      </c>
    </row>
    <row r="47" spans="1:34" x14ac:dyDescent="0.2">
      <c r="A47" s="3">
        <v>41518</v>
      </c>
      <c r="B47" s="4">
        <v>168471.09160000001</v>
      </c>
      <c r="C47" s="4">
        <v>453.18020000000001</v>
      </c>
      <c r="D47" s="4">
        <v>451.86419999999998</v>
      </c>
      <c r="E47" s="4">
        <v>1.3159000000000001</v>
      </c>
      <c r="F47" s="5">
        <v>20223.701300000001</v>
      </c>
      <c r="G47" s="4">
        <v>445.80119999999999</v>
      </c>
      <c r="H47" s="4">
        <v>19777.9002</v>
      </c>
      <c r="I47" s="4">
        <v>172.38630000000001</v>
      </c>
      <c r="J47" s="5">
        <v>40527.559099999999</v>
      </c>
      <c r="K47" s="4">
        <v>2703.4675999999999</v>
      </c>
      <c r="L47" s="4">
        <v>37824.091500000002</v>
      </c>
      <c r="M47" s="4">
        <v>101886.8749</v>
      </c>
      <c r="N47" s="4">
        <v>100943.7193</v>
      </c>
      <c r="O47" s="4">
        <v>560.44920000000002</v>
      </c>
      <c r="P47" s="4">
        <v>382.70639999999997</v>
      </c>
      <c r="Q47" s="4">
        <v>5207.3896999999997</v>
      </c>
      <c r="R47" s="4">
        <v>16025.297500000001</v>
      </c>
      <c r="S47" s="4">
        <v>152445.7941</v>
      </c>
      <c r="T47" s="4">
        <v>575.16470000000004</v>
      </c>
      <c r="U47" s="4">
        <v>14197.072700000001</v>
      </c>
      <c r="V47" s="4">
        <v>3581.0603999999998</v>
      </c>
      <c r="W47" s="4">
        <v>10616.0123</v>
      </c>
      <c r="X47" s="4">
        <v>35012.83</v>
      </c>
      <c r="Y47" s="4">
        <v>3040.8038999999999</v>
      </c>
      <c r="Z47" s="4">
        <v>31972.026099999999</v>
      </c>
      <c r="AA47" s="4">
        <v>7997.1594999999998</v>
      </c>
      <c r="AB47" s="4">
        <v>1152.7164</v>
      </c>
      <c r="AC47" s="4">
        <v>6844.4431000000004</v>
      </c>
      <c r="AD47" s="4">
        <v>89665.412200000006</v>
      </c>
      <c r="AE47" s="4">
        <v>63860.600599999998</v>
      </c>
      <c r="AF47" s="4">
        <v>988.86590000000001</v>
      </c>
      <c r="AG47" s="4">
        <v>24815.9457</v>
      </c>
      <c r="AH47" s="4">
        <v>4998.1549000000005</v>
      </c>
    </row>
    <row r="48" spans="1:34" x14ac:dyDescent="0.2">
      <c r="A48" s="3">
        <v>41609</v>
      </c>
      <c r="B48" s="4">
        <v>176330.96340000001</v>
      </c>
      <c r="C48" s="4">
        <v>700.5865</v>
      </c>
      <c r="D48" s="4">
        <v>696.89660000000003</v>
      </c>
      <c r="E48" s="4">
        <v>3.6899000000000002</v>
      </c>
      <c r="F48" s="5">
        <v>22417.623800000001</v>
      </c>
      <c r="G48" s="4">
        <v>801.6508</v>
      </c>
      <c r="H48" s="4">
        <v>21615.973000000002</v>
      </c>
      <c r="I48" s="4">
        <v>-131.2723</v>
      </c>
      <c r="J48" s="5">
        <v>43936.3675</v>
      </c>
      <c r="K48" s="4">
        <v>3127.3789000000002</v>
      </c>
      <c r="L48" s="4">
        <v>40808.988599999997</v>
      </c>
      <c r="M48" s="4">
        <v>104064.8481</v>
      </c>
      <c r="N48" s="4">
        <v>103107.2484</v>
      </c>
      <c r="O48" s="4">
        <v>551.52059999999994</v>
      </c>
      <c r="P48" s="4">
        <v>406.07909999999998</v>
      </c>
      <c r="Q48" s="4">
        <v>5342.8099000000002</v>
      </c>
      <c r="R48" s="4">
        <v>13014.0548</v>
      </c>
      <c r="S48" s="4">
        <v>163316.9086</v>
      </c>
      <c r="T48" s="4">
        <v>605.85609999999997</v>
      </c>
      <c r="U48" s="4">
        <v>14123.723599999999</v>
      </c>
      <c r="V48" s="4">
        <v>3216.9274999999998</v>
      </c>
      <c r="W48" s="4">
        <v>10906.796</v>
      </c>
      <c r="X48" s="4">
        <v>36986.543100000003</v>
      </c>
      <c r="Y48" s="4">
        <v>3618.8433</v>
      </c>
      <c r="Z48" s="4">
        <v>33367.6999</v>
      </c>
      <c r="AA48" s="4">
        <v>7918.0249000000003</v>
      </c>
      <c r="AB48" s="4">
        <v>1256.6251999999999</v>
      </c>
      <c r="AC48" s="4">
        <v>6661.3995999999997</v>
      </c>
      <c r="AD48" s="4">
        <v>97838.483399999997</v>
      </c>
      <c r="AE48" s="4">
        <v>68208.770600000003</v>
      </c>
      <c r="AF48" s="4">
        <v>1366.4916000000001</v>
      </c>
      <c r="AG48" s="4">
        <v>28263.2212</v>
      </c>
      <c r="AH48" s="4">
        <v>5844.2775000000001</v>
      </c>
    </row>
    <row r="49" spans="1:34" x14ac:dyDescent="0.2">
      <c r="A49" s="3">
        <v>41699</v>
      </c>
      <c r="B49" s="4">
        <v>186047.9774</v>
      </c>
      <c r="C49" s="4">
        <v>656.21389999999997</v>
      </c>
      <c r="D49" s="4">
        <v>652.97220000000004</v>
      </c>
      <c r="E49" s="4">
        <v>3.2416999999999998</v>
      </c>
      <c r="F49" s="5">
        <v>23548.1116</v>
      </c>
      <c r="G49" s="4">
        <v>629.7337</v>
      </c>
      <c r="H49" s="4">
        <v>22918.377799999998</v>
      </c>
      <c r="I49" s="4">
        <v>-92.055899999999994</v>
      </c>
      <c r="J49" s="5">
        <v>47261.766000000003</v>
      </c>
      <c r="K49" s="4">
        <v>3036.0293999999999</v>
      </c>
      <c r="L49" s="4">
        <v>44225.736599999997</v>
      </c>
      <c r="M49" s="4">
        <v>109620.66929999999</v>
      </c>
      <c r="N49" s="4">
        <v>108534.0037</v>
      </c>
      <c r="O49" s="4">
        <v>582.51009999999997</v>
      </c>
      <c r="P49" s="4">
        <v>504.15550000000002</v>
      </c>
      <c r="Q49" s="4">
        <v>5053.2727000000004</v>
      </c>
      <c r="R49" s="4">
        <v>13561.5993</v>
      </c>
      <c r="S49" s="4">
        <v>172486.3781</v>
      </c>
      <c r="T49" s="4">
        <v>639.56200000000001</v>
      </c>
      <c r="U49" s="4">
        <v>15635.283299999999</v>
      </c>
      <c r="V49" s="4">
        <v>4152.5646999999999</v>
      </c>
      <c r="W49" s="4">
        <v>11482.7186</v>
      </c>
      <c r="X49" s="4">
        <v>39316.652399999999</v>
      </c>
      <c r="Y49" s="4">
        <v>4193.4511000000002</v>
      </c>
      <c r="Z49" s="4">
        <v>35123.201300000001</v>
      </c>
      <c r="AA49" s="4">
        <v>8131.893</v>
      </c>
      <c r="AB49" s="4">
        <v>1017.5546000000001</v>
      </c>
      <c r="AC49" s="4">
        <v>7114.3383999999996</v>
      </c>
      <c r="AD49" s="4">
        <v>102157.36930000001</v>
      </c>
      <c r="AE49" s="4">
        <v>71562.943799999994</v>
      </c>
      <c r="AF49" s="4">
        <v>1450.5413000000001</v>
      </c>
      <c r="AG49" s="4">
        <v>29143.884300000002</v>
      </c>
      <c r="AH49" s="4">
        <v>6605.6180999999997</v>
      </c>
    </row>
    <row r="50" spans="1:34" x14ac:dyDescent="0.2">
      <c r="A50" s="3">
        <v>41791</v>
      </c>
      <c r="B50" s="4">
        <v>191685.75200000001</v>
      </c>
      <c r="C50" s="4">
        <v>720.56209999999999</v>
      </c>
      <c r="D50" s="4">
        <v>717.96270000000004</v>
      </c>
      <c r="E50" s="4">
        <v>2.5994999999999999</v>
      </c>
      <c r="F50" s="5">
        <v>25089.113399999998</v>
      </c>
      <c r="G50" s="4">
        <v>782.94640000000004</v>
      </c>
      <c r="H50" s="4">
        <v>24306.167099999999</v>
      </c>
      <c r="I50" s="4">
        <v>-112.13209999999999</v>
      </c>
      <c r="J50" s="5">
        <v>48336.282599999999</v>
      </c>
      <c r="K50" s="4">
        <v>2961.7204000000002</v>
      </c>
      <c r="L50" s="4">
        <v>45374.5622</v>
      </c>
      <c r="M50" s="4">
        <v>112797.9356</v>
      </c>
      <c r="N50" s="4">
        <v>111633.62209999999</v>
      </c>
      <c r="O50" s="4">
        <v>556.09900000000005</v>
      </c>
      <c r="P50" s="4">
        <v>608.21460000000002</v>
      </c>
      <c r="Q50" s="4">
        <v>4853.9903000000004</v>
      </c>
      <c r="R50" s="4">
        <v>13607.6842</v>
      </c>
      <c r="S50" s="4">
        <v>178078.06779999999</v>
      </c>
      <c r="T50" s="4">
        <v>639.90769999999998</v>
      </c>
      <c r="U50" s="4">
        <v>15176.733200000001</v>
      </c>
      <c r="V50" s="4">
        <v>3921.1205</v>
      </c>
      <c r="W50" s="4">
        <v>11255.6127</v>
      </c>
      <c r="X50" s="4">
        <v>40203.792800000003</v>
      </c>
      <c r="Y50" s="4">
        <v>3870.2374</v>
      </c>
      <c r="Z50" s="4">
        <v>36333.555399999997</v>
      </c>
      <c r="AA50" s="4">
        <v>9134.4218999999994</v>
      </c>
      <c r="AB50" s="4">
        <v>1187.1577</v>
      </c>
      <c r="AC50" s="4">
        <v>7947.2641999999996</v>
      </c>
      <c r="AD50" s="4">
        <v>106497.67359999999</v>
      </c>
      <c r="AE50" s="4">
        <v>73242.617599999998</v>
      </c>
      <c r="AF50" s="4">
        <v>1402.5155999999999</v>
      </c>
      <c r="AG50" s="4">
        <v>31852.540400000002</v>
      </c>
      <c r="AH50" s="4">
        <v>6425.5384999999997</v>
      </c>
    </row>
    <row r="51" spans="1:34" x14ac:dyDescent="0.2">
      <c r="A51" s="3">
        <v>41883</v>
      </c>
      <c r="B51" s="4">
        <v>209239.86480000001</v>
      </c>
      <c r="C51" s="4">
        <v>694.2568</v>
      </c>
      <c r="D51" s="4">
        <v>692.34609999999998</v>
      </c>
      <c r="E51" s="4">
        <v>1.9107000000000001</v>
      </c>
      <c r="F51" s="5">
        <v>29805.007000000001</v>
      </c>
      <c r="G51" s="4">
        <v>967.71140000000003</v>
      </c>
      <c r="H51" s="4">
        <v>28837.295600000001</v>
      </c>
      <c r="I51" s="4">
        <v>-99.056799999999996</v>
      </c>
      <c r="J51" s="5">
        <v>52144.017399999997</v>
      </c>
      <c r="K51" s="4">
        <v>3103.2561999999998</v>
      </c>
      <c r="L51" s="4">
        <v>49040.761200000001</v>
      </c>
      <c r="M51" s="4">
        <v>121501.8079</v>
      </c>
      <c r="N51" s="4">
        <v>120231.22659999999</v>
      </c>
      <c r="O51" s="4">
        <v>597.4606</v>
      </c>
      <c r="P51" s="4">
        <v>673.12070000000006</v>
      </c>
      <c r="Q51" s="4">
        <v>5193.8323</v>
      </c>
      <c r="R51" s="4">
        <v>14984.998100000001</v>
      </c>
      <c r="S51" s="4">
        <v>194254.86670000001</v>
      </c>
      <c r="T51" s="4">
        <v>670.41790000000003</v>
      </c>
      <c r="U51" s="4">
        <v>16903.976500000001</v>
      </c>
      <c r="V51" s="4">
        <v>4277.2103999999999</v>
      </c>
      <c r="W51" s="4">
        <v>12626.766100000001</v>
      </c>
      <c r="X51" s="4">
        <v>42769.592499999999</v>
      </c>
      <c r="Y51" s="4">
        <v>4059.4443999999999</v>
      </c>
      <c r="Z51" s="4">
        <v>38710.148099999999</v>
      </c>
      <c r="AA51" s="4">
        <v>10256.040300000001</v>
      </c>
      <c r="AB51" s="4">
        <v>1298.7126000000001</v>
      </c>
      <c r="AC51" s="4">
        <v>8957.3276999999998</v>
      </c>
      <c r="AD51" s="4">
        <v>117393.6798</v>
      </c>
      <c r="AE51" s="4">
        <v>81013.569300000003</v>
      </c>
      <c r="AF51" s="4">
        <v>1510.8061</v>
      </c>
      <c r="AG51" s="4">
        <v>34869.304400000001</v>
      </c>
      <c r="AH51" s="4">
        <v>6261.1597000000002</v>
      </c>
    </row>
    <row r="52" spans="1:34" x14ac:dyDescent="0.2">
      <c r="A52" s="3">
        <v>41974</v>
      </c>
      <c r="B52" s="4">
        <v>214871.8455</v>
      </c>
      <c r="C52" s="4">
        <v>748.71579999999994</v>
      </c>
      <c r="D52" s="4">
        <v>747.98350000000005</v>
      </c>
      <c r="E52" s="4">
        <v>0.73229999999999995</v>
      </c>
      <c r="F52" s="5">
        <v>32013.8269</v>
      </c>
      <c r="G52" s="4">
        <v>1036.5186000000001</v>
      </c>
      <c r="H52" s="4">
        <v>30977.308300000001</v>
      </c>
      <c r="I52" s="4">
        <v>-251.8879</v>
      </c>
      <c r="J52" s="5">
        <v>55166.377399999998</v>
      </c>
      <c r="K52" s="4">
        <v>3385.4517000000001</v>
      </c>
      <c r="L52" s="4">
        <v>51780.9257</v>
      </c>
      <c r="M52" s="4">
        <v>121771.857</v>
      </c>
      <c r="N52" s="4">
        <v>120522.9265</v>
      </c>
      <c r="O52" s="4">
        <v>619.15030000000002</v>
      </c>
      <c r="P52" s="4">
        <v>629.78020000000004</v>
      </c>
      <c r="Q52" s="4">
        <v>5422.9562999999998</v>
      </c>
      <c r="R52" s="4">
        <v>16035.6927</v>
      </c>
      <c r="S52" s="4">
        <v>198836.15280000001</v>
      </c>
      <c r="T52" s="4">
        <v>661.17399999999998</v>
      </c>
      <c r="U52" s="4">
        <v>18841.650399999999</v>
      </c>
      <c r="V52" s="4">
        <v>5787.8550999999998</v>
      </c>
      <c r="W52" s="4">
        <v>13053.7953</v>
      </c>
      <c r="X52" s="4">
        <v>42664.326999999997</v>
      </c>
      <c r="Y52" s="4">
        <v>4214.4565000000002</v>
      </c>
      <c r="Z52" s="4">
        <v>38449.8704</v>
      </c>
      <c r="AA52" s="4">
        <v>10695.6291</v>
      </c>
      <c r="AB52" s="4">
        <v>1484.5642</v>
      </c>
      <c r="AC52" s="4">
        <v>9211.0648999999994</v>
      </c>
      <c r="AD52" s="4">
        <v>119190.7144</v>
      </c>
      <c r="AE52" s="4">
        <v>82114.635699999999</v>
      </c>
      <c r="AF52" s="4">
        <v>1605.2045000000001</v>
      </c>
      <c r="AG52" s="4">
        <v>35470.874199999998</v>
      </c>
      <c r="AH52" s="4">
        <v>6782.6578</v>
      </c>
    </row>
    <row r="53" spans="1:34" x14ac:dyDescent="0.2">
      <c r="A53" s="3">
        <v>42064</v>
      </c>
      <c r="B53" s="4">
        <v>221675.5497</v>
      </c>
      <c r="C53" s="4">
        <v>913.08540000000005</v>
      </c>
      <c r="D53" s="4">
        <v>912.80840000000001</v>
      </c>
      <c r="E53" s="4">
        <v>0.27700000000000002</v>
      </c>
      <c r="F53" s="5">
        <v>33796.2382</v>
      </c>
      <c r="G53" s="4">
        <v>1006.2821</v>
      </c>
      <c r="H53" s="4">
        <v>32789.956200000001</v>
      </c>
      <c r="I53" s="4">
        <v>198.73509999999999</v>
      </c>
      <c r="J53" s="5">
        <v>56149.102400000003</v>
      </c>
      <c r="K53" s="4">
        <v>2593.3382000000001</v>
      </c>
      <c r="L53" s="4">
        <v>53555.7641</v>
      </c>
      <c r="M53" s="4">
        <v>125630.0481</v>
      </c>
      <c r="N53" s="4">
        <v>124277.8564</v>
      </c>
      <c r="O53" s="4">
        <v>615.09680000000003</v>
      </c>
      <c r="P53" s="4">
        <v>737.09490000000005</v>
      </c>
      <c r="Q53" s="4">
        <v>4988.3405000000002</v>
      </c>
      <c r="R53" s="4">
        <v>18130.535199999998</v>
      </c>
      <c r="S53" s="4">
        <v>203545.01459999999</v>
      </c>
      <c r="T53" s="4">
        <v>650.23479999999995</v>
      </c>
      <c r="U53" s="4">
        <v>17845.324199999999</v>
      </c>
      <c r="V53" s="4">
        <v>5384.4243999999999</v>
      </c>
      <c r="W53" s="4">
        <v>12460.899799999999</v>
      </c>
      <c r="X53" s="4">
        <v>43089.491499999996</v>
      </c>
      <c r="Y53" s="4">
        <v>4592.6963999999998</v>
      </c>
      <c r="Z53" s="4">
        <v>38496.795100000003</v>
      </c>
      <c r="AA53" s="4">
        <v>11931.68</v>
      </c>
      <c r="AB53" s="4">
        <v>1477.5425</v>
      </c>
      <c r="AC53" s="4">
        <v>10454.137500000001</v>
      </c>
      <c r="AD53" s="4">
        <v>123239.6425</v>
      </c>
      <c r="AE53" s="4">
        <v>82891.2212</v>
      </c>
      <c r="AF53" s="4">
        <v>1606.8251</v>
      </c>
      <c r="AG53" s="4">
        <v>38741.5962</v>
      </c>
      <c r="AH53" s="4">
        <v>6788.6415999999999</v>
      </c>
    </row>
    <row r="54" spans="1:34" x14ac:dyDescent="0.2">
      <c r="A54" s="3">
        <v>42156</v>
      </c>
      <c r="B54" s="4">
        <v>224642.65590000001</v>
      </c>
      <c r="C54" s="4">
        <v>1012.6127</v>
      </c>
      <c r="D54" s="4">
        <v>1012.3156</v>
      </c>
      <c r="E54" s="4">
        <v>0.29709999999999998</v>
      </c>
      <c r="F54" s="5">
        <v>35188.1967</v>
      </c>
      <c r="G54" s="4">
        <v>1028.1222</v>
      </c>
      <c r="H54" s="4">
        <v>34160.0746</v>
      </c>
      <c r="I54" s="4">
        <v>163.9529</v>
      </c>
      <c r="J54" s="5">
        <v>57113.862300000001</v>
      </c>
      <c r="K54" s="4">
        <v>2631.3308999999999</v>
      </c>
      <c r="L54" s="4">
        <v>54482.5314</v>
      </c>
      <c r="M54" s="4">
        <v>126461.4304</v>
      </c>
      <c r="N54" s="4">
        <v>125020.173</v>
      </c>
      <c r="O54" s="4">
        <v>628.1386</v>
      </c>
      <c r="P54" s="4">
        <v>813.11879999999996</v>
      </c>
      <c r="Q54" s="4">
        <v>4702.6008000000002</v>
      </c>
      <c r="R54" s="4">
        <v>17020.0465</v>
      </c>
      <c r="S54" s="4">
        <v>207622.60939999999</v>
      </c>
      <c r="T54" s="4">
        <v>670.88720000000001</v>
      </c>
      <c r="U54" s="4">
        <v>17293.4107</v>
      </c>
      <c r="V54" s="4">
        <v>5683.3647000000001</v>
      </c>
      <c r="W54" s="4">
        <v>11610.046</v>
      </c>
      <c r="X54" s="4">
        <v>44869.075400000002</v>
      </c>
      <c r="Y54" s="4">
        <v>5051.0616</v>
      </c>
      <c r="Z54" s="4">
        <v>39818.013800000001</v>
      </c>
      <c r="AA54" s="4">
        <v>12947.0952</v>
      </c>
      <c r="AB54" s="4">
        <v>1436.6898000000001</v>
      </c>
      <c r="AC54" s="4">
        <v>11510.4054</v>
      </c>
      <c r="AD54" s="4">
        <v>125470.1973</v>
      </c>
      <c r="AE54" s="4">
        <v>83762.839800000002</v>
      </c>
      <c r="AF54" s="4">
        <v>1530.6051</v>
      </c>
      <c r="AG54" s="4">
        <v>40176.752399999998</v>
      </c>
      <c r="AH54" s="4">
        <v>6371.9435000000003</v>
      </c>
    </row>
    <row r="55" spans="1:34" x14ac:dyDescent="0.2">
      <c r="A55" s="3">
        <v>42248</v>
      </c>
      <c r="B55" s="4">
        <v>247151.0386</v>
      </c>
      <c r="C55" s="4">
        <v>1023.1659</v>
      </c>
      <c r="D55" s="4">
        <v>1022.8183</v>
      </c>
      <c r="E55" s="4">
        <v>0.34760000000000002</v>
      </c>
      <c r="F55" s="5">
        <v>38207.425499999998</v>
      </c>
      <c r="G55" s="4">
        <v>778.29880000000003</v>
      </c>
      <c r="H55" s="4">
        <v>37429.126700000001</v>
      </c>
      <c r="I55" s="4">
        <v>1027.4663</v>
      </c>
      <c r="J55" s="5">
        <v>68181.887700000007</v>
      </c>
      <c r="K55" s="4">
        <v>2639.6138999999998</v>
      </c>
      <c r="L55" s="4">
        <v>65542.273799999995</v>
      </c>
      <c r="M55" s="4">
        <v>133351.70370000001</v>
      </c>
      <c r="N55" s="4">
        <v>131854.88099999999</v>
      </c>
      <c r="O55" s="4">
        <v>642.87990000000002</v>
      </c>
      <c r="P55" s="4">
        <v>853.94280000000003</v>
      </c>
      <c r="Q55" s="4">
        <v>5359.3896000000004</v>
      </c>
      <c r="R55" s="4">
        <v>24610.7971</v>
      </c>
      <c r="S55" s="4">
        <v>222540.2415</v>
      </c>
      <c r="T55" s="4">
        <v>761.20759999999996</v>
      </c>
      <c r="U55" s="4">
        <v>19308.415000000001</v>
      </c>
      <c r="V55" s="4">
        <v>6684.5249000000003</v>
      </c>
      <c r="W55" s="4">
        <v>12623.890100000001</v>
      </c>
      <c r="X55" s="4">
        <v>49921.219700000001</v>
      </c>
      <c r="Y55" s="4">
        <v>5409.6502</v>
      </c>
      <c r="Z55" s="4">
        <v>44511.569499999998</v>
      </c>
      <c r="AA55" s="4">
        <v>21279.492200000001</v>
      </c>
      <c r="AB55" s="4">
        <v>1624.6573000000001</v>
      </c>
      <c r="AC55" s="4">
        <v>19654.834900000002</v>
      </c>
      <c r="AD55" s="4">
        <v>124718.7412</v>
      </c>
      <c r="AE55" s="4">
        <v>85630.076499999996</v>
      </c>
      <c r="AF55" s="4">
        <v>1542.5461</v>
      </c>
      <c r="AG55" s="4">
        <v>37546.118600000002</v>
      </c>
      <c r="AH55" s="4">
        <v>6551.1657999999998</v>
      </c>
    </row>
    <row r="56" spans="1:34" x14ac:dyDescent="0.2">
      <c r="A56" s="3">
        <v>42339</v>
      </c>
      <c r="B56" s="4">
        <v>245966.0012</v>
      </c>
      <c r="C56" s="4">
        <v>1014.9968</v>
      </c>
      <c r="D56" s="4">
        <v>1014.6346</v>
      </c>
      <c r="E56" s="4">
        <v>0.36220000000000002</v>
      </c>
      <c r="F56" s="5">
        <v>37226.999199999998</v>
      </c>
      <c r="G56" s="4">
        <v>282.75420000000003</v>
      </c>
      <c r="H56" s="4">
        <v>36944.245000000003</v>
      </c>
      <c r="I56" s="4">
        <v>581.67859999999996</v>
      </c>
      <c r="J56" s="5">
        <v>69413.246899999998</v>
      </c>
      <c r="K56" s="4">
        <v>2948.1007</v>
      </c>
      <c r="L56" s="4">
        <v>66465.146200000003</v>
      </c>
      <c r="M56" s="4">
        <v>132483.68729999999</v>
      </c>
      <c r="N56" s="4">
        <v>131079.82670000001</v>
      </c>
      <c r="O56" s="4">
        <v>634.90189999999996</v>
      </c>
      <c r="P56" s="4">
        <v>768.95860000000005</v>
      </c>
      <c r="Q56" s="4">
        <v>5245.3924999999999</v>
      </c>
      <c r="R56" s="4">
        <v>22891.1522</v>
      </c>
      <c r="S56" s="4">
        <v>223074.84899999999</v>
      </c>
      <c r="T56" s="4">
        <v>754.64559999999994</v>
      </c>
      <c r="U56" s="4">
        <v>19789.834800000001</v>
      </c>
      <c r="V56" s="4">
        <v>7071.6536999999998</v>
      </c>
      <c r="W56" s="4">
        <v>12718.181</v>
      </c>
      <c r="X56" s="4">
        <v>48637.612300000001</v>
      </c>
      <c r="Y56" s="4">
        <v>4996.8179</v>
      </c>
      <c r="Z56" s="4">
        <v>43640.794500000004</v>
      </c>
      <c r="AA56" s="4">
        <v>19429.695100000001</v>
      </c>
      <c r="AB56" s="4">
        <v>1416.3915999999999</v>
      </c>
      <c r="AC56" s="4">
        <v>18013.303500000002</v>
      </c>
      <c r="AD56" s="4">
        <v>127595.3597</v>
      </c>
      <c r="AE56" s="4">
        <v>86573.645000000004</v>
      </c>
      <c r="AF56" s="4">
        <v>1616.2599</v>
      </c>
      <c r="AG56" s="4">
        <v>39405.454899999997</v>
      </c>
      <c r="AH56" s="4">
        <v>6867.7016000000003</v>
      </c>
    </row>
    <row r="57" spans="1:34" x14ac:dyDescent="0.2">
      <c r="A57" s="3">
        <v>42430</v>
      </c>
      <c r="B57" s="4">
        <v>245290.2819</v>
      </c>
      <c r="C57" s="4">
        <v>1076.8479</v>
      </c>
      <c r="D57" s="4">
        <v>1073.6242999999999</v>
      </c>
      <c r="E57" s="4">
        <v>3.2235</v>
      </c>
      <c r="F57" s="5">
        <v>37588.934500000003</v>
      </c>
      <c r="G57" s="4">
        <v>184.4923</v>
      </c>
      <c r="H57" s="4">
        <v>37404.442300000002</v>
      </c>
      <c r="I57" s="4">
        <v>630.09400000000005</v>
      </c>
      <c r="J57" s="5">
        <v>67273.540200000003</v>
      </c>
      <c r="K57" s="4">
        <v>2576.0866000000001</v>
      </c>
      <c r="L57" s="4">
        <v>64697.453600000001</v>
      </c>
      <c r="M57" s="4">
        <v>134077.5447</v>
      </c>
      <c r="N57" s="4">
        <v>132577.5577</v>
      </c>
      <c r="O57" s="4">
        <v>687.73069999999996</v>
      </c>
      <c r="P57" s="4">
        <v>812.25630000000001</v>
      </c>
      <c r="Q57" s="4">
        <v>4643.3204999999998</v>
      </c>
      <c r="R57" s="4">
        <v>25783.394899999999</v>
      </c>
      <c r="S57" s="4">
        <v>219506.88699999999</v>
      </c>
      <c r="T57" s="4">
        <v>521.26620000000003</v>
      </c>
      <c r="U57" s="4">
        <v>18923.181499999999</v>
      </c>
      <c r="V57" s="4">
        <v>6391.9173000000001</v>
      </c>
      <c r="W57" s="4">
        <v>12531.2642</v>
      </c>
      <c r="X57" s="4">
        <v>51731.936099999999</v>
      </c>
      <c r="Y57" s="4">
        <v>5794.5034999999998</v>
      </c>
      <c r="Z57" s="4">
        <v>45937.4326</v>
      </c>
      <c r="AA57" s="4">
        <v>18583.226200000001</v>
      </c>
      <c r="AB57" s="4">
        <v>1262.191</v>
      </c>
      <c r="AC57" s="4">
        <v>17321.035199999998</v>
      </c>
      <c r="AD57" s="4">
        <v>123175.06389999999</v>
      </c>
      <c r="AE57" s="4">
        <v>83918.919500000004</v>
      </c>
      <c r="AF57" s="4">
        <v>1588.4889000000001</v>
      </c>
      <c r="AG57" s="4">
        <v>37667.655500000001</v>
      </c>
      <c r="AH57" s="4">
        <v>6572.2129000000004</v>
      </c>
    </row>
    <row r="58" spans="1:34" x14ac:dyDescent="0.2">
      <c r="A58" s="3">
        <v>42522</v>
      </c>
      <c r="B58" s="4">
        <v>244582.2182</v>
      </c>
      <c r="C58" s="4">
        <v>1267.8822</v>
      </c>
      <c r="D58" s="4">
        <v>1265.4971</v>
      </c>
      <c r="E58" s="4">
        <v>2.3851</v>
      </c>
      <c r="F58" s="5">
        <v>37587.523300000001</v>
      </c>
      <c r="G58" s="4">
        <v>262.14449999999999</v>
      </c>
      <c r="H58" s="4">
        <v>37325.378799999999</v>
      </c>
      <c r="I58" s="4">
        <v>455.99</v>
      </c>
      <c r="J58" s="5">
        <v>66514.120999999999</v>
      </c>
      <c r="K58" s="4">
        <v>2610.1880999999998</v>
      </c>
      <c r="L58" s="4">
        <v>63903.932999999997</v>
      </c>
      <c r="M58" s="4">
        <v>134237.52050000001</v>
      </c>
      <c r="N58" s="4">
        <v>132729.24410000001</v>
      </c>
      <c r="O58" s="4">
        <v>677.91560000000004</v>
      </c>
      <c r="P58" s="4">
        <v>830.36080000000004</v>
      </c>
      <c r="Q58" s="4">
        <v>4519.1810999999998</v>
      </c>
      <c r="R58" s="4">
        <v>25912.2228</v>
      </c>
      <c r="S58" s="4">
        <v>218669.99530000001</v>
      </c>
      <c r="T58" s="4">
        <v>507.59350000000001</v>
      </c>
      <c r="U58" s="4">
        <v>20136.7212</v>
      </c>
      <c r="V58" s="4">
        <v>7747.1614</v>
      </c>
      <c r="W58" s="4">
        <v>12389.559800000001</v>
      </c>
      <c r="X58" s="4">
        <v>51780.6541</v>
      </c>
      <c r="Y58" s="4">
        <v>5439.5488999999998</v>
      </c>
      <c r="Z58" s="4">
        <v>46341.105199999998</v>
      </c>
      <c r="AA58" s="4">
        <v>18558.062699999999</v>
      </c>
      <c r="AB58" s="4">
        <v>1447.0209</v>
      </c>
      <c r="AC58" s="4">
        <v>17111.041700000002</v>
      </c>
      <c r="AD58" s="4">
        <v>121553.7855</v>
      </c>
      <c r="AE58" s="4">
        <v>82382.697199999995</v>
      </c>
      <c r="AF58" s="4">
        <v>1729.7182</v>
      </c>
      <c r="AG58" s="4">
        <v>37441.3701</v>
      </c>
      <c r="AH58" s="4">
        <v>6133.1782999999996</v>
      </c>
    </row>
    <row r="59" spans="1:34" x14ac:dyDescent="0.2">
      <c r="A59" s="3">
        <v>42614</v>
      </c>
      <c r="B59" s="4">
        <v>244945.67300000001</v>
      </c>
      <c r="C59" s="4">
        <v>957.28620000000001</v>
      </c>
      <c r="D59" s="4">
        <v>955.99940000000004</v>
      </c>
      <c r="E59" s="4">
        <v>1.2867999999999999</v>
      </c>
      <c r="F59" s="5">
        <v>38024.275699999998</v>
      </c>
      <c r="G59" s="4">
        <v>318.45179999999999</v>
      </c>
      <c r="H59" s="4">
        <v>37705.823900000003</v>
      </c>
      <c r="I59" s="4">
        <v>320.9126</v>
      </c>
      <c r="J59" s="5">
        <v>65987.251399999994</v>
      </c>
      <c r="K59" s="4">
        <v>2733.9906999999998</v>
      </c>
      <c r="L59" s="4">
        <v>63253.260699999999</v>
      </c>
      <c r="M59" s="4">
        <v>134768.209</v>
      </c>
      <c r="N59" s="4">
        <v>133167.97450000001</v>
      </c>
      <c r="O59" s="4">
        <v>670.14970000000005</v>
      </c>
      <c r="P59" s="4">
        <v>930.0847</v>
      </c>
      <c r="Q59" s="4">
        <v>4887.7380999999996</v>
      </c>
      <c r="R59" s="4">
        <v>25036.925200000001</v>
      </c>
      <c r="S59" s="4">
        <v>219908.74780000001</v>
      </c>
      <c r="T59" s="4">
        <v>504.62720000000002</v>
      </c>
      <c r="U59" s="4">
        <v>19106.5383</v>
      </c>
      <c r="V59" s="4">
        <v>6724.5583999999999</v>
      </c>
      <c r="W59" s="4">
        <v>12381.9799</v>
      </c>
      <c r="X59" s="4">
        <v>51671.015099999997</v>
      </c>
      <c r="Y59" s="4">
        <v>4808.7438000000002</v>
      </c>
      <c r="Z59" s="4">
        <v>46862.2713</v>
      </c>
      <c r="AA59" s="4">
        <v>19271.789499999999</v>
      </c>
      <c r="AB59" s="4">
        <v>1630.2055</v>
      </c>
      <c r="AC59" s="4">
        <v>17641.583999999999</v>
      </c>
      <c r="AD59" s="4">
        <v>123210.7503</v>
      </c>
      <c r="AE59" s="4">
        <v>82673.668099999995</v>
      </c>
      <c r="AF59" s="4">
        <v>1765.0667000000001</v>
      </c>
      <c r="AG59" s="4">
        <v>38772.015599999999</v>
      </c>
      <c r="AH59" s="4">
        <v>6144.0273999999999</v>
      </c>
    </row>
    <row r="60" spans="1:34" x14ac:dyDescent="0.2">
      <c r="A60" s="3">
        <v>42705</v>
      </c>
      <c r="B60" s="4">
        <v>245867.01240000001</v>
      </c>
      <c r="C60" s="4">
        <v>909.87729999999999</v>
      </c>
      <c r="D60" s="4">
        <v>906.43179999999995</v>
      </c>
      <c r="E60" s="4">
        <v>3.4455</v>
      </c>
      <c r="F60" s="5">
        <v>37072.837200000002</v>
      </c>
      <c r="G60" s="4">
        <v>261.43279999999999</v>
      </c>
      <c r="H60" s="4">
        <v>36811.404499999997</v>
      </c>
      <c r="I60" s="4">
        <v>-248.52780000000001</v>
      </c>
      <c r="J60" s="5">
        <v>67119.986699999994</v>
      </c>
      <c r="K60" s="4">
        <v>2879.2476000000001</v>
      </c>
      <c r="L60" s="4">
        <v>64240.739099999999</v>
      </c>
      <c r="M60" s="4">
        <v>135868.21960000001</v>
      </c>
      <c r="N60" s="4">
        <v>134309.5245</v>
      </c>
      <c r="O60" s="4">
        <v>678.43610000000001</v>
      </c>
      <c r="P60" s="4">
        <v>880.25900000000001</v>
      </c>
      <c r="Q60" s="4">
        <v>5144.6193000000003</v>
      </c>
      <c r="R60" s="4">
        <v>25236.680700000001</v>
      </c>
      <c r="S60" s="4">
        <v>220630.3316</v>
      </c>
      <c r="T60" s="4">
        <v>491.5247</v>
      </c>
      <c r="U60" s="4">
        <v>20155.887500000001</v>
      </c>
      <c r="V60" s="4">
        <v>7443.1008000000002</v>
      </c>
      <c r="W60" s="4">
        <v>12712.786599999999</v>
      </c>
      <c r="X60" s="4">
        <v>49347.434699999998</v>
      </c>
      <c r="Y60" s="4">
        <v>3995.8217</v>
      </c>
      <c r="Z60" s="4">
        <v>45351.612999999998</v>
      </c>
      <c r="AA60" s="4">
        <v>19442.403600000001</v>
      </c>
      <c r="AB60" s="4">
        <v>1346.1141</v>
      </c>
      <c r="AC60" s="4">
        <v>18096.289499999999</v>
      </c>
      <c r="AD60" s="4">
        <v>124750.01730000001</v>
      </c>
      <c r="AE60" s="4">
        <v>85569.534</v>
      </c>
      <c r="AF60" s="4">
        <v>1806.1978999999999</v>
      </c>
      <c r="AG60" s="4">
        <v>37374.285400000001</v>
      </c>
      <c r="AH60" s="4">
        <v>6443.0639000000001</v>
      </c>
    </row>
    <row r="61" spans="1:34" x14ac:dyDescent="0.2">
      <c r="A61" s="3">
        <v>42795</v>
      </c>
      <c r="B61" s="4">
        <v>251467.22200000001</v>
      </c>
      <c r="C61" s="4">
        <v>881.48569999999995</v>
      </c>
      <c r="D61" s="4">
        <v>878.86540000000002</v>
      </c>
      <c r="E61" s="4">
        <v>2.6204000000000001</v>
      </c>
      <c r="F61" s="5">
        <v>37934.111799999999</v>
      </c>
      <c r="G61" s="4">
        <v>437.93450000000001</v>
      </c>
      <c r="H61" s="4">
        <v>37496.177300000003</v>
      </c>
      <c r="I61" s="4">
        <v>-251.16489999999999</v>
      </c>
      <c r="J61" s="5">
        <v>64828.361499999999</v>
      </c>
      <c r="K61" s="4">
        <v>2513.6743999999999</v>
      </c>
      <c r="L61" s="4">
        <v>62314.687100000003</v>
      </c>
      <c r="M61" s="4">
        <v>142770.5741</v>
      </c>
      <c r="N61" s="4">
        <v>140844.4308</v>
      </c>
      <c r="O61" s="4">
        <v>748.0172</v>
      </c>
      <c r="P61" s="4">
        <v>1178.1261</v>
      </c>
      <c r="Q61" s="4">
        <v>5303.8537999999999</v>
      </c>
      <c r="R61" s="4">
        <v>27509.8838</v>
      </c>
      <c r="S61" s="4">
        <v>223957.3382</v>
      </c>
      <c r="T61" s="4">
        <v>493.14839999999998</v>
      </c>
      <c r="U61" s="4">
        <v>17576.543600000001</v>
      </c>
      <c r="V61" s="4">
        <v>6511.7056000000002</v>
      </c>
      <c r="W61" s="4">
        <v>11064.838</v>
      </c>
      <c r="X61" s="4">
        <v>50792.347399999999</v>
      </c>
      <c r="Y61" s="4">
        <v>4378.4573</v>
      </c>
      <c r="Z61" s="4">
        <v>46413.890099999997</v>
      </c>
      <c r="AA61" s="4">
        <v>19753.2742</v>
      </c>
      <c r="AB61" s="4">
        <v>1414.7044000000001</v>
      </c>
      <c r="AC61" s="4">
        <v>18338.5697</v>
      </c>
      <c r="AD61" s="4">
        <v>129210.1716</v>
      </c>
      <c r="AE61" s="4">
        <v>87698.873900000006</v>
      </c>
      <c r="AF61" s="4">
        <v>1940.9285</v>
      </c>
      <c r="AG61" s="4">
        <v>39570.369200000001</v>
      </c>
      <c r="AH61" s="4">
        <v>6131.8531000000003</v>
      </c>
    </row>
    <row r="62" spans="1:34" x14ac:dyDescent="0.2">
      <c r="A62" s="3">
        <v>42887</v>
      </c>
      <c r="B62" s="4">
        <v>254385.02129999999</v>
      </c>
      <c r="C62" s="4">
        <v>866.1712</v>
      </c>
      <c r="D62" s="4">
        <v>864.73540000000003</v>
      </c>
      <c r="E62" s="4">
        <v>1.4358</v>
      </c>
      <c r="F62" s="5">
        <v>41179.058400000002</v>
      </c>
      <c r="G62" s="4">
        <v>306.74549999999999</v>
      </c>
      <c r="H62" s="4">
        <v>40872.313000000002</v>
      </c>
      <c r="I62" s="4">
        <v>-217.23159999999999</v>
      </c>
      <c r="J62" s="5">
        <v>65011.868799999997</v>
      </c>
      <c r="K62" s="4">
        <v>2867.7339000000002</v>
      </c>
      <c r="L62" s="4">
        <v>62144.134899999997</v>
      </c>
      <c r="M62" s="4">
        <v>142128.24299999999</v>
      </c>
      <c r="N62" s="4">
        <v>140087.55129999999</v>
      </c>
      <c r="O62" s="4">
        <v>751.25279999999998</v>
      </c>
      <c r="P62" s="4">
        <v>1289.4390000000001</v>
      </c>
      <c r="Q62" s="4">
        <v>5416.9115000000002</v>
      </c>
      <c r="R62" s="4">
        <v>25888.260399999999</v>
      </c>
      <c r="S62" s="4">
        <v>228496.76089999999</v>
      </c>
      <c r="T62" s="4">
        <v>505.95979999999997</v>
      </c>
      <c r="U62" s="4">
        <v>16068.8133</v>
      </c>
      <c r="V62" s="4">
        <v>6196.5920999999998</v>
      </c>
      <c r="W62" s="4">
        <v>9872.2212</v>
      </c>
      <c r="X62" s="4">
        <v>52450.839899999999</v>
      </c>
      <c r="Y62" s="4">
        <v>4533.6490999999996</v>
      </c>
      <c r="Z62" s="4">
        <v>47917.190799999997</v>
      </c>
      <c r="AA62" s="4">
        <v>19985.9745</v>
      </c>
      <c r="AB62" s="4">
        <v>1391.5382999999999</v>
      </c>
      <c r="AC62" s="4">
        <v>18594.4362</v>
      </c>
      <c r="AD62" s="4">
        <v>132822.46859999999</v>
      </c>
      <c r="AE62" s="4">
        <v>87918.353000000003</v>
      </c>
      <c r="AF62" s="4">
        <v>1809.8432</v>
      </c>
      <c r="AG62" s="4">
        <v>43094.272400000002</v>
      </c>
      <c r="AH62" s="4">
        <v>6662.7048000000004</v>
      </c>
    </row>
    <row r="63" spans="1:34" x14ac:dyDescent="0.2">
      <c r="A63" s="3">
        <v>42979</v>
      </c>
      <c r="B63" s="4">
        <v>255242.85980000001</v>
      </c>
      <c r="C63" s="4">
        <v>905.33040000000005</v>
      </c>
      <c r="D63" s="4">
        <v>904.72180000000003</v>
      </c>
      <c r="E63" s="4">
        <v>0.60860000000000003</v>
      </c>
      <c r="F63" s="5">
        <v>41091.046000000002</v>
      </c>
      <c r="G63" s="4">
        <v>245.15379999999999</v>
      </c>
      <c r="H63" s="4">
        <v>40845.8923</v>
      </c>
      <c r="I63" s="4">
        <v>-335.92309999999998</v>
      </c>
      <c r="J63" s="5">
        <v>63064.532899999998</v>
      </c>
      <c r="K63" s="4">
        <v>2595.2791999999999</v>
      </c>
      <c r="L63" s="4">
        <v>60469.253599999996</v>
      </c>
      <c r="M63" s="4">
        <v>145151.83590000001</v>
      </c>
      <c r="N63" s="4">
        <v>143066.36050000001</v>
      </c>
      <c r="O63" s="4">
        <v>767.90689999999995</v>
      </c>
      <c r="P63" s="4">
        <v>1317.5685000000001</v>
      </c>
      <c r="Q63" s="4">
        <v>5366.0376999999999</v>
      </c>
      <c r="R63" s="4">
        <v>30085.092199999999</v>
      </c>
      <c r="S63" s="4">
        <v>225157.76759999999</v>
      </c>
      <c r="T63" s="4">
        <v>493.39210000000003</v>
      </c>
      <c r="U63" s="4">
        <v>13889.613600000001</v>
      </c>
      <c r="V63" s="4">
        <v>5114.4862000000003</v>
      </c>
      <c r="W63" s="4">
        <v>8775.1273000000001</v>
      </c>
      <c r="X63" s="4">
        <v>50414.7598</v>
      </c>
      <c r="Y63" s="4">
        <v>4160.7892000000002</v>
      </c>
      <c r="Z63" s="4">
        <v>46253.970600000001</v>
      </c>
      <c r="AA63" s="4">
        <v>19191.925999999999</v>
      </c>
      <c r="AB63" s="4">
        <v>1208.2718</v>
      </c>
      <c r="AC63" s="4">
        <v>17983.654200000001</v>
      </c>
      <c r="AD63" s="4">
        <v>134394.48920000001</v>
      </c>
      <c r="AE63" s="4">
        <v>86621.4185</v>
      </c>
      <c r="AF63" s="4">
        <v>1794.7501999999999</v>
      </c>
      <c r="AG63" s="4">
        <v>45978.320500000002</v>
      </c>
      <c r="AH63" s="4">
        <v>6773.5869000000002</v>
      </c>
    </row>
    <row r="64" spans="1:34" x14ac:dyDescent="0.2">
      <c r="A64" s="3">
        <v>43070</v>
      </c>
      <c r="B64" s="4">
        <v>254260.02799999999</v>
      </c>
      <c r="C64" s="4">
        <v>1254.8557000000001</v>
      </c>
      <c r="D64" s="4">
        <v>1252.6683</v>
      </c>
      <c r="E64" s="4">
        <v>2.1875</v>
      </c>
      <c r="F64" s="5">
        <v>41692.574399999998</v>
      </c>
      <c r="G64" s="4">
        <v>289.85390000000001</v>
      </c>
      <c r="H64" s="4">
        <v>41402.720500000003</v>
      </c>
      <c r="I64" s="4">
        <v>-583.59590000000003</v>
      </c>
      <c r="J64" s="5">
        <v>62185.258199999997</v>
      </c>
      <c r="K64" s="4">
        <v>4430.6046999999999</v>
      </c>
      <c r="L64" s="4">
        <v>57754.653599999998</v>
      </c>
      <c r="M64" s="4">
        <v>144118.62909999999</v>
      </c>
      <c r="N64" s="4">
        <v>142058.29329999999</v>
      </c>
      <c r="O64" s="4">
        <v>702.9479</v>
      </c>
      <c r="P64" s="4">
        <v>1357.3878999999999</v>
      </c>
      <c r="Q64" s="4">
        <v>5592.3064000000004</v>
      </c>
      <c r="R64" s="4">
        <v>31853.197100000001</v>
      </c>
      <c r="S64" s="4">
        <v>222406.8309</v>
      </c>
      <c r="T64" s="4">
        <v>480.19690000000003</v>
      </c>
      <c r="U64" s="4">
        <v>13886.4185</v>
      </c>
      <c r="V64" s="4">
        <v>6110.8118999999997</v>
      </c>
      <c r="W64" s="4">
        <v>7775.6066000000001</v>
      </c>
      <c r="X64" s="4">
        <v>48288.551200000002</v>
      </c>
      <c r="Y64" s="4">
        <v>3530.7283000000002</v>
      </c>
      <c r="Z64" s="4">
        <v>44757.822899999999</v>
      </c>
      <c r="AA64" s="4">
        <v>18311.985199999999</v>
      </c>
      <c r="AB64" s="4">
        <v>1175.5161000000001</v>
      </c>
      <c r="AC64" s="4">
        <v>17136.469099999998</v>
      </c>
      <c r="AD64" s="4">
        <v>134978.614</v>
      </c>
      <c r="AE64" s="4">
        <v>84043.513300000006</v>
      </c>
      <c r="AF64" s="4">
        <v>1823.9070999999999</v>
      </c>
      <c r="AG64" s="4">
        <v>49111.193599999999</v>
      </c>
      <c r="AH64" s="4">
        <v>6461.0649999999996</v>
      </c>
    </row>
    <row r="65" spans="1:34" x14ac:dyDescent="0.2">
      <c r="A65" s="3">
        <v>43160</v>
      </c>
      <c r="B65" s="4">
        <v>256461.17600000001</v>
      </c>
      <c r="C65" s="4">
        <v>1260.5713000000001</v>
      </c>
      <c r="D65" s="4">
        <v>1259.5141000000001</v>
      </c>
      <c r="E65" s="4">
        <v>1.0571999999999999</v>
      </c>
      <c r="F65" s="5">
        <v>42059.720300000001</v>
      </c>
      <c r="G65" s="4">
        <v>584.37099999999998</v>
      </c>
      <c r="H65" s="4">
        <v>41475.349300000002</v>
      </c>
      <c r="I65" s="4">
        <v>-796.90459999999996</v>
      </c>
      <c r="J65" s="5">
        <v>62126.902399999999</v>
      </c>
      <c r="K65" s="4">
        <v>3320.9079999999999</v>
      </c>
      <c r="L65" s="4">
        <v>58805.994400000003</v>
      </c>
      <c r="M65" s="4">
        <v>146291.60879999999</v>
      </c>
      <c r="N65" s="4">
        <v>144073.9056</v>
      </c>
      <c r="O65" s="4">
        <v>809.35550000000001</v>
      </c>
      <c r="P65" s="4">
        <v>1408.3477</v>
      </c>
      <c r="Q65" s="4">
        <v>5519.2779</v>
      </c>
      <c r="R65" s="4">
        <v>33546.6031</v>
      </c>
      <c r="S65" s="4">
        <v>222914.5729</v>
      </c>
      <c r="T65" s="4">
        <v>482.07960000000003</v>
      </c>
      <c r="U65" s="4">
        <v>11989.1952</v>
      </c>
      <c r="V65" s="4">
        <v>5014.6916000000001</v>
      </c>
      <c r="W65" s="4">
        <v>6974.5036</v>
      </c>
      <c r="X65" s="4">
        <v>48566.616800000003</v>
      </c>
      <c r="Y65" s="4">
        <v>3617.444</v>
      </c>
      <c r="Z65" s="4">
        <v>44949.1728</v>
      </c>
      <c r="AA65" s="4">
        <v>18142.883699999998</v>
      </c>
      <c r="AB65" s="4">
        <v>971.83</v>
      </c>
      <c r="AC65" s="4">
        <v>17171.0537</v>
      </c>
      <c r="AD65" s="4">
        <v>136850.45050000001</v>
      </c>
      <c r="AE65" s="4">
        <v>84253.324999999997</v>
      </c>
      <c r="AF65" s="4">
        <v>1788.6327000000001</v>
      </c>
      <c r="AG65" s="4">
        <v>50808.4928</v>
      </c>
      <c r="AH65" s="4">
        <v>6883.3472000000002</v>
      </c>
    </row>
    <row r="66" spans="1:34" x14ac:dyDescent="0.2">
      <c r="A66" s="3">
        <v>43252</v>
      </c>
      <c r="B66" s="4">
        <v>263595.39490000001</v>
      </c>
      <c r="C66" s="4">
        <v>1262.9398000000001</v>
      </c>
      <c r="D66" s="4">
        <v>1262.5766000000001</v>
      </c>
      <c r="E66" s="4">
        <v>0.36330000000000001</v>
      </c>
      <c r="F66" s="5">
        <v>44592.371299999999</v>
      </c>
      <c r="G66" s="4">
        <v>663.91669999999999</v>
      </c>
      <c r="H66" s="4">
        <v>43928.454599999997</v>
      </c>
      <c r="I66" s="4">
        <v>-389.06200000000001</v>
      </c>
      <c r="J66" s="5">
        <v>62777.780700000003</v>
      </c>
      <c r="K66" s="4">
        <v>3325.8881000000001</v>
      </c>
      <c r="L66" s="4">
        <v>59451.892599999999</v>
      </c>
      <c r="M66" s="4">
        <v>149063.08910000001</v>
      </c>
      <c r="N66" s="4">
        <v>146782.19820000001</v>
      </c>
      <c r="O66" s="4">
        <v>813.2414</v>
      </c>
      <c r="P66" s="4">
        <v>1467.6495</v>
      </c>
      <c r="Q66" s="4">
        <v>6288.2759999999998</v>
      </c>
      <c r="R66" s="4">
        <v>34346.901899999997</v>
      </c>
      <c r="S66" s="4">
        <v>229248.49299999999</v>
      </c>
      <c r="T66" s="4">
        <v>498.9803</v>
      </c>
      <c r="U66" s="4">
        <v>13379.0386</v>
      </c>
      <c r="V66" s="4">
        <v>5606.6786000000002</v>
      </c>
      <c r="W66" s="4">
        <v>7772.36</v>
      </c>
      <c r="X66" s="4">
        <v>49350.121700000003</v>
      </c>
      <c r="Y66" s="4">
        <v>3455.3606</v>
      </c>
      <c r="Z66" s="4">
        <v>45894.761200000001</v>
      </c>
      <c r="AA66" s="4">
        <v>10620.511399999999</v>
      </c>
      <c r="AB66" s="4">
        <v>1059.4490000000001</v>
      </c>
      <c r="AC66" s="4">
        <v>9561.0624000000007</v>
      </c>
      <c r="AD66" s="4">
        <v>148401.51949999999</v>
      </c>
      <c r="AE66" s="4">
        <v>94783.929399999994</v>
      </c>
      <c r="AF66" s="4">
        <v>1920.9347</v>
      </c>
      <c r="AG66" s="4">
        <v>51696.655299999999</v>
      </c>
      <c r="AH66" s="4">
        <v>6998.3213999999998</v>
      </c>
    </row>
    <row r="67" spans="1:34" x14ac:dyDescent="0.2">
      <c r="A67" s="3">
        <v>43344</v>
      </c>
      <c r="B67" s="4">
        <v>270494.93449999997</v>
      </c>
      <c r="C67" s="4">
        <v>1624.9573</v>
      </c>
      <c r="D67" s="4">
        <v>1622.2123999999999</v>
      </c>
      <c r="E67" s="4">
        <v>2.7448999999999999</v>
      </c>
      <c r="F67" s="5">
        <v>45923.573299999996</v>
      </c>
      <c r="G67" s="4">
        <v>785.71280000000002</v>
      </c>
      <c r="H67" s="4">
        <v>45137.860399999998</v>
      </c>
      <c r="I67" s="4">
        <v>-698.41470000000004</v>
      </c>
      <c r="J67" s="5">
        <v>64971.635399999999</v>
      </c>
      <c r="K67" s="4">
        <v>3388.6707999999999</v>
      </c>
      <c r="L67" s="4">
        <v>61582.964500000002</v>
      </c>
      <c r="M67" s="4">
        <v>152329.10440000001</v>
      </c>
      <c r="N67" s="4">
        <v>150166.8064</v>
      </c>
      <c r="O67" s="4">
        <v>808.06590000000006</v>
      </c>
      <c r="P67" s="4">
        <v>1354.2320999999999</v>
      </c>
      <c r="Q67" s="4">
        <v>6344.0789000000004</v>
      </c>
      <c r="R67" s="4">
        <v>36902.780100000004</v>
      </c>
      <c r="S67" s="4">
        <v>233592.1544</v>
      </c>
      <c r="T67" s="4">
        <v>504.78719999999998</v>
      </c>
      <c r="U67" s="4">
        <v>12940.416300000001</v>
      </c>
      <c r="V67" s="4">
        <v>5374.5583999999999</v>
      </c>
      <c r="W67" s="4">
        <v>7565.8579</v>
      </c>
      <c r="X67" s="4">
        <v>49527.118499999997</v>
      </c>
      <c r="Y67" s="4">
        <v>3512.0136000000002</v>
      </c>
      <c r="Z67" s="4">
        <v>46015.104899999998</v>
      </c>
      <c r="AA67" s="4">
        <v>11089.3449</v>
      </c>
      <c r="AB67" s="4">
        <v>972.04060000000004</v>
      </c>
      <c r="AC67" s="4">
        <v>10117.3043</v>
      </c>
      <c r="AD67" s="4">
        <v>152978.4117</v>
      </c>
      <c r="AE67" s="4">
        <v>98232.272299999997</v>
      </c>
      <c r="AF67" s="4">
        <v>2087.1914000000002</v>
      </c>
      <c r="AG67" s="4">
        <v>52658.947999999997</v>
      </c>
      <c r="AH67" s="4">
        <v>6552.076</v>
      </c>
    </row>
    <row r="68" spans="1:34" x14ac:dyDescent="0.2">
      <c r="A68" s="3">
        <v>43435</v>
      </c>
      <c r="B68" s="4">
        <v>283180.91629999998</v>
      </c>
      <c r="C68" s="4">
        <v>1893.6155000000001</v>
      </c>
      <c r="D68" s="4">
        <v>1892.0864999999999</v>
      </c>
      <c r="E68" s="4">
        <v>1.5289999999999999</v>
      </c>
      <c r="F68" s="5">
        <v>48733.453399999999</v>
      </c>
      <c r="G68" s="4">
        <v>615.85709999999995</v>
      </c>
      <c r="H68" s="4">
        <v>48117.596400000002</v>
      </c>
      <c r="I68" s="4">
        <v>-388.24450000000002</v>
      </c>
      <c r="J68" s="5">
        <v>70587.787500000006</v>
      </c>
      <c r="K68" s="4">
        <v>4012.7109999999998</v>
      </c>
      <c r="L68" s="4">
        <v>66575.076499999996</v>
      </c>
      <c r="M68" s="4">
        <v>155408.85750000001</v>
      </c>
      <c r="N68" s="4">
        <v>153209.65169999999</v>
      </c>
      <c r="O68" s="4">
        <v>772.40679999999998</v>
      </c>
      <c r="P68" s="4">
        <v>1426.799</v>
      </c>
      <c r="Q68" s="4">
        <v>6945.4468999999999</v>
      </c>
      <c r="R68" s="4">
        <v>41742.800000000003</v>
      </c>
      <c r="S68" s="4">
        <v>241438.11629999999</v>
      </c>
      <c r="T68" s="4">
        <v>529.55250000000001</v>
      </c>
      <c r="U68" s="4">
        <v>15452.846100000001</v>
      </c>
      <c r="V68" s="4">
        <v>5548.1914999999999</v>
      </c>
      <c r="W68" s="4">
        <v>9904.6545999999998</v>
      </c>
      <c r="X68" s="4">
        <v>51651.947899999999</v>
      </c>
      <c r="Y68" s="4">
        <v>3664.6527000000001</v>
      </c>
      <c r="Z68" s="4">
        <v>47987.295100000003</v>
      </c>
      <c r="AA68" s="4">
        <v>11603.081</v>
      </c>
      <c r="AB68" s="4">
        <v>1034.1541</v>
      </c>
      <c r="AC68" s="4">
        <v>10568.9269</v>
      </c>
      <c r="AD68" s="4">
        <v>154774.47829999999</v>
      </c>
      <c r="AE68" s="4">
        <v>104415.2162</v>
      </c>
      <c r="AF68" s="4">
        <v>1938.0239999999999</v>
      </c>
      <c r="AG68" s="4">
        <v>48421.238100000002</v>
      </c>
      <c r="AH68" s="4">
        <v>7426.2106000000003</v>
      </c>
    </row>
    <row r="69" spans="1:34" x14ac:dyDescent="0.2">
      <c r="A69" s="3">
        <v>43525</v>
      </c>
      <c r="B69" s="4">
        <v>283086.07169999997</v>
      </c>
      <c r="C69" s="4">
        <v>1812.287</v>
      </c>
      <c r="D69" s="4">
        <v>1811.9145000000001</v>
      </c>
      <c r="E69" s="4">
        <v>0.37259999999999999</v>
      </c>
      <c r="F69" s="5">
        <v>49832.157800000001</v>
      </c>
      <c r="G69" s="4">
        <v>830.06110000000001</v>
      </c>
      <c r="H69" s="4">
        <v>49002.096599999997</v>
      </c>
      <c r="I69" s="4">
        <v>-547.77570000000003</v>
      </c>
      <c r="J69" s="5">
        <v>68830.3223</v>
      </c>
      <c r="K69" s="4">
        <v>3343.1581999999999</v>
      </c>
      <c r="L69" s="4">
        <v>65487.163999999997</v>
      </c>
      <c r="M69" s="4">
        <v>156881.20540000001</v>
      </c>
      <c r="N69" s="4">
        <v>154637.78260000001</v>
      </c>
      <c r="O69" s="4">
        <v>833.38099999999997</v>
      </c>
      <c r="P69" s="4">
        <v>1410.0418</v>
      </c>
      <c r="Q69" s="4">
        <v>6277.875</v>
      </c>
      <c r="R69" s="4">
        <v>39130.695299999999</v>
      </c>
      <c r="S69" s="4">
        <v>243955.37640000001</v>
      </c>
      <c r="T69" s="4">
        <v>517.42409999999995</v>
      </c>
      <c r="U69" s="4">
        <v>12112.3694</v>
      </c>
      <c r="V69" s="4">
        <v>4519.0875999999998</v>
      </c>
      <c r="W69" s="4">
        <v>7593.2817999999997</v>
      </c>
      <c r="X69" s="4">
        <v>51456.690900000001</v>
      </c>
      <c r="Y69" s="4">
        <v>3737.0454</v>
      </c>
      <c r="Z69" s="4">
        <v>47719.645600000003</v>
      </c>
      <c r="AA69" s="4">
        <v>11692.436400000001</v>
      </c>
      <c r="AB69" s="4">
        <v>1233.0530000000001</v>
      </c>
      <c r="AC69" s="4">
        <v>10459.383400000001</v>
      </c>
      <c r="AD69" s="4">
        <v>160933.3242</v>
      </c>
      <c r="AE69" s="4">
        <v>105122.2773</v>
      </c>
      <c r="AF69" s="4">
        <v>2511.6306</v>
      </c>
      <c r="AG69" s="4">
        <v>53299.416299999997</v>
      </c>
      <c r="AH69" s="4">
        <v>7243.1315000000004</v>
      </c>
    </row>
    <row r="70" spans="1:34" x14ac:dyDescent="0.2">
      <c r="A70" s="3">
        <v>43617</v>
      </c>
      <c r="B70" s="4">
        <v>287062.44319999998</v>
      </c>
      <c r="C70" s="4">
        <v>1843.8543999999999</v>
      </c>
      <c r="D70" s="4">
        <v>1841.0609999999999</v>
      </c>
      <c r="E70" s="4">
        <v>2.7934000000000001</v>
      </c>
      <c r="F70" s="5">
        <v>53569.731099999997</v>
      </c>
      <c r="G70" s="4">
        <v>1142.7832000000001</v>
      </c>
      <c r="H70" s="4">
        <v>52426.947999999997</v>
      </c>
      <c r="I70" s="4">
        <v>-823.73099999999999</v>
      </c>
      <c r="J70" s="5">
        <v>70266.945900000006</v>
      </c>
      <c r="K70" s="4">
        <v>4098.6269000000002</v>
      </c>
      <c r="L70" s="4">
        <v>66168.319099999993</v>
      </c>
      <c r="M70" s="4">
        <v>156262.8898</v>
      </c>
      <c r="N70" s="4">
        <v>154052.94469999999</v>
      </c>
      <c r="O70" s="4">
        <v>880.4615</v>
      </c>
      <c r="P70" s="4">
        <v>1329.4836</v>
      </c>
      <c r="Q70" s="4">
        <v>5942.7529999999997</v>
      </c>
      <c r="R70" s="4">
        <v>37675.860399999998</v>
      </c>
      <c r="S70" s="4">
        <v>249386.5828</v>
      </c>
      <c r="T70" s="4">
        <v>517.68299999999999</v>
      </c>
      <c r="U70" s="4">
        <v>13311.5023</v>
      </c>
      <c r="V70" s="4">
        <v>5845.7480999999998</v>
      </c>
      <c r="W70" s="4">
        <v>7465.7542000000003</v>
      </c>
      <c r="X70" s="4">
        <v>52313.992299999998</v>
      </c>
      <c r="Y70" s="4">
        <v>4305.8184000000001</v>
      </c>
      <c r="Z70" s="4">
        <v>48008.173900000002</v>
      </c>
      <c r="AA70" s="4">
        <v>10964.3305</v>
      </c>
      <c r="AB70" s="4">
        <v>844.53039999999999</v>
      </c>
      <c r="AC70" s="4">
        <v>10119.8001</v>
      </c>
      <c r="AD70" s="4">
        <v>165486.9719</v>
      </c>
      <c r="AE70" s="4">
        <v>107536.13860000001</v>
      </c>
      <c r="AF70" s="4">
        <v>2822.5360999999998</v>
      </c>
      <c r="AG70" s="4">
        <v>55128.297200000001</v>
      </c>
      <c r="AH70" s="4">
        <v>6792.1027999999997</v>
      </c>
    </row>
    <row r="71" spans="1:34" x14ac:dyDescent="0.2">
      <c r="A71" s="3">
        <v>43709</v>
      </c>
      <c r="B71" s="4">
        <v>306944.77740000002</v>
      </c>
      <c r="C71" s="4">
        <v>1890.4022</v>
      </c>
      <c r="D71" s="4">
        <v>1886.3025</v>
      </c>
      <c r="E71" s="4">
        <v>4.0997000000000003</v>
      </c>
      <c r="F71" s="5">
        <v>58023.169000000002</v>
      </c>
      <c r="G71" s="4">
        <v>918.42150000000004</v>
      </c>
      <c r="H71" s="4">
        <v>57104.747499999998</v>
      </c>
      <c r="I71" s="4">
        <v>277.1053</v>
      </c>
      <c r="J71" s="5">
        <v>75398.989400000006</v>
      </c>
      <c r="K71" s="4">
        <v>4597.3487999999998</v>
      </c>
      <c r="L71" s="4">
        <v>70801.640599999999</v>
      </c>
      <c r="M71" s="4">
        <v>164888.1317</v>
      </c>
      <c r="N71" s="4">
        <v>162146.53580000001</v>
      </c>
      <c r="O71" s="4">
        <v>899.37279999999998</v>
      </c>
      <c r="P71" s="4">
        <v>1842.223</v>
      </c>
      <c r="Q71" s="4">
        <v>6466.9799000000003</v>
      </c>
      <c r="R71" s="4">
        <v>41448.703800000003</v>
      </c>
      <c r="S71" s="4">
        <v>265496.0736</v>
      </c>
      <c r="T71" s="4">
        <v>542.31719999999996</v>
      </c>
      <c r="U71" s="4">
        <v>14728.6494</v>
      </c>
      <c r="V71" s="4">
        <v>7161.3786</v>
      </c>
      <c r="W71" s="4">
        <v>7567.2708000000002</v>
      </c>
      <c r="X71" s="4">
        <v>56560.3027</v>
      </c>
      <c r="Y71" s="4">
        <v>4517.1896999999999</v>
      </c>
      <c r="Z71" s="4">
        <v>52043.1129</v>
      </c>
      <c r="AA71" s="4">
        <v>11743.5172</v>
      </c>
      <c r="AB71" s="4">
        <v>875.08090000000004</v>
      </c>
      <c r="AC71" s="4">
        <v>10868.436299999999</v>
      </c>
      <c r="AD71" s="4">
        <v>174788.95300000001</v>
      </c>
      <c r="AE71" s="4">
        <v>116044.71580000001</v>
      </c>
      <c r="AF71" s="4">
        <v>3026.9189000000001</v>
      </c>
      <c r="AG71" s="4">
        <v>55717.318299999999</v>
      </c>
      <c r="AH71" s="4">
        <v>7132.3342000000002</v>
      </c>
    </row>
    <row r="72" spans="1:34" x14ac:dyDescent="0.2">
      <c r="A72" s="3">
        <v>43800</v>
      </c>
      <c r="B72" s="4">
        <v>314257.31640000001</v>
      </c>
      <c r="C72" s="4">
        <v>2306.1010000000001</v>
      </c>
      <c r="D72" s="4">
        <v>2303.7321999999999</v>
      </c>
      <c r="E72" s="4">
        <v>2.3687999999999998</v>
      </c>
      <c r="F72" s="5">
        <v>61254.529600000002</v>
      </c>
      <c r="G72" s="4">
        <v>1267.5455999999999</v>
      </c>
      <c r="H72" s="4">
        <v>59986.983999999997</v>
      </c>
      <c r="I72" s="4">
        <v>-19.829000000000001</v>
      </c>
      <c r="J72" s="5">
        <v>77892.7889</v>
      </c>
      <c r="K72" s="4">
        <v>5696.2822999999999</v>
      </c>
      <c r="L72" s="4">
        <v>72196.506599999993</v>
      </c>
      <c r="M72" s="4">
        <v>166547.35569999999</v>
      </c>
      <c r="N72" s="4">
        <v>163788.71170000001</v>
      </c>
      <c r="O72" s="4">
        <v>1028.4346</v>
      </c>
      <c r="P72" s="4">
        <v>1730.2093</v>
      </c>
      <c r="Q72" s="4">
        <v>6276.3702000000003</v>
      </c>
      <c r="R72" s="4">
        <v>32527.755000000001</v>
      </c>
      <c r="S72" s="4">
        <v>281729.56140000001</v>
      </c>
      <c r="T72" s="4">
        <v>564.21810000000005</v>
      </c>
      <c r="U72" s="4">
        <v>18381.848000000002</v>
      </c>
      <c r="V72" s="4">
        <v>9419.1095999999998</v>
      </c>
      <c r="W72" s="4">
        <v>8962.7384000000002</v>
      </c>
      <c r="X72" s="4">
        <v>54996.382299999997</v>
      </c>
      <c r="Y72" s="4">
        <v>4592.6436000000003</v>
      </c>
      <c r="Z72" s="4">
        <v>50403.738700000002</v>
      </c>
      <c r="AA72" s="4">
        <v>11670.463400000001</v>
      </c>
      <c r="AB72" s="4">
        <v>778.33939999999996</v>
      </c>
      <c r="AC72" s="4">
        <v>10892.124100000001</v>
      </c>
      <c r="AD72" s="4">
        <v>187424.7445</v>
      </c>
      <c r="AE72" s="4">
        <v>123494.1658</v>
      </c>
      <c r="AF72" s="4">
        <v>3163.3901000000001</v>
      </c>
      <c r="AG72" s="4">
        <v>60767.188600000001</v>
      </c>
      <c r="AH72" s="4">
        <v>8691.9050999999999</v>
      </c>
    </row>
    <row r="73" spans="1:34" x14ac:dyDescent="0.2">
      <c r="A73" s="3">
        <v>43891</v>
      </c>
      <c r="B73" s="4">
        <v>340206.56209999998</v>
      </c>
      <c r="C73" s="4">
        <v>2332.172</v>
      </c>
      <c r="D73" s="4">
        <v>2329.6291000000001</v>
      </c>
      <c r="E73" s="4">
        <v>2.5428999999999999</v>
      </c>
      <c r="F73" s="5">
        <v>68866.411500000002</v>
      </c>
      <c r="G73" s="4">
        <v>1760.5853</v>
      </c>
      <c r="H73" s="4">
        <v>67105.826199999996</v>
      </c>
      <c r="I73" s="4">
        <v>2903.1585</v>
      </c>
      <c r="J73" s="5">
        <v>87872.3799</v>
      </c>
      <c r="K73" s="4">
        <v>6684.0685999999996</v>
      </c>
      <c r="L73" s="4">
        <v>81188.311300000001</v>
      </c>
      <c r="M73" s="4">
        <v>171904.6906</v>
      </c>
      <c r="N73" s="4">
        <v>169106.36110000001</v>
      </c>
      <c r="O73" s="4">
        <v>1199.1912</v>
      </c>
      <c r="P73" s="4">
        <v>1599.1383000000001</v>
      </c>
      <c r="Q73" s="4">
        <v>6327.7496000000001</v>
      </c>
      <c r="R73" s="4">
        <v>34493.145799999998</v>
      </c>
      <c r="S73" s="4">
        <v>305713.41629999998</v>
      </c>
      <c r="T73" s="4">
        <v>635.23119999999994</v>
      </c>
      <c r="U73" s="4">
        <v>24995.4483</v>
      </c>
      <c r="V73" s="4">
        <v>12018.162200000001</v>
      </c>
      <c r="W73" s="4">
        <v>12977.286099999999</v>
      </c>
      <c r="X73" s="4">
        <v>65401.492100000003</v>
      </c>
      <c r="Y73" s="4">
        <v>6347.8315000000002</v>
      </c>
      <c r="Z73" s="4">
        <v>59053.660600000003</v>
      </c>
      <c r="AA73" s="4">
        <v>14121.5515</v>
      </c>
      <c r="AB73" s="4">
        <v>1005.9406</v>
      </c>
      <c r="AC73" s="4">
        <v>13115.6109</v>
      </c>
      <c r="AD73" s="4">
        <v>189919.7187</v>
      </c>
      <c r="AE73" s="4">
        <v>134047.4276</v>
      </c>
      <c r="AF73" s="4">
        <v>2880.3784000000001</v>
      </c>
      <c r="AG73" s="4">
        <v>52991.912600000003</v>
      </c>
      <c r="AH73" s="4">
        <v>10639.9745</v>
      </c>
    </row>
    <row r="74" spans="1:34" x14ac:dyDescent="0.2">
      <c r="A74" s="3">
        <v>43983</v>
      </c>
      <c r="B74" s="4">
        <v>341226.82559999998</v>
      </c>
      <c r="C74" s="4">
        <v>2242.9816999999998</v>
      </c>
      <c r="D74" s="4">
        <v>2239.1696999999999</v>
      </c>
      <c r="E74" s="4">
        <v>3.8121</v>
      </c>
      <c r="F74" s="5">
        <v>74253.360400000005</v>
      </c>
      <c r="G74" s="4">
        <v>1603.9170999999999</v>
      </c>
      <c r="H74" s="4">
        <v>72649.443299999999</v>
      </c>
      <c r="I74" s="4">
        <v>1647.9112</v>
      </c>
      <c r="J74" s="5">
        <v>86287.116599999994</v>
      </c>
      <c r="K74" s="4">
        <v>6213.6328999999996</v>
      </c>
      <c r="L74" s="4">
        <v>80073.483600000007</v>
      </c>
      <c r="M74" s="4">
        <v>171401.23190000001</v>
      </c>
      <c r="N74" s="4">
        <v>168420.7451</v>
      </c>
      <c r="O74" s="4">
        <v>1300.8996</v>
      </c>
      <c r="P74" s="4">
        <v>1679.5872999999999</v>
      </c>
      <c r="Q74" s="4">
        <v>5394.2237999999998</v>
      </c>
      <c r="R74" s="4">
        <v>30901.718199999999</v>
      </c>
      <c r="S74" s="4">
        <v>310325.10729999997</v>
      </c>
      <c r="T74" s="4">
        <v>537.70690000000002</v>
      </c>
      <c r="U74" s="4">
        <v>22057.633099999999</v>
      </c>
      <c r="V74" s="4">
        <v>12542.884099999999</v>
      </c>
      <c r="W74" s="4">
        <v>9514.7489999999998</v>
      </c>
      <c r="X74" s="4">
        <v>63563.970300000001</v>
      </c>
      <c r="Y74" s="4">
        <v>7018.7362000000003</v>
      </c>
      <c r="Z74" s="4">
        <v>56545.234100000001</v>
      </c>
      <c r="AA74" s="4">
        <v>13485.5731</v>
      </c>
      <c r="AB74" s="4">
        <v>856.34090000000003</v>
      </c>
      <c r="AC74" s="4">
        <v>12629.2322</v>
      </c>
      <c r="AD74" s="4">
        <v>200846.0735</v>
      </c>
      <c r="AE74" s="4">
        <v>133861.75390000001</v>
      </c>
      <c r="AF74" s="4">
        <v>3091.3541</v>
      </c>
      <c r="AG74" s="4">
        <v>63892.965400000001</v>
      </c>
      <c r="AH74" s="4">
        <v>9834.1504000000004</v>
      </c>
    </row>
    <row r="75" spans="1:34" x14ac:dyDescent="0.2">
      <c r="A75" s="3">
        <v>44075</v>
      </c>
      <c r="B75" s="4">
        <v>327104.38780000003</v>
      </c>
      <c r="C75" s="4">
        <v>2194.3413</v>
      </c>
      <c r="D75" s="4">
        <v>2191.2247000000002</v>
      </c>
      <c r="E75" s="4">
        <v>3.1166</v>
      </c>
      <c r="F75" s="5">
        <v>72595.103700000007</v>
      </c>
      <c r="G75" s="4">
        <v>1179.2258999999999</v>
      </c>
      <c r="H75" s="4">
        <v>71415.877699999997</v>
      </c>
      <c r="I75" s="4">
        <v>536.10479999999995</v>
      </c>
      <c r="J75" s="5">
        <v>82407.786200000002</v>
      </c>
      <c r="K75" s="4">
        <v>5110.4283999999998</v>
      </c>
      <c r="L75" s="4">
        <v>77297.357699999993</v>
      </c>
      <c r="M75" s="4">
        <v>163523.9295</v>
      </c>
      <c r="N75" s="4">
        <v>160667.45540000001</v>
      </c>
      <c r="O75" s="4">
        <v>1276.0782999999999</v>
      </c>
      <c r="P75" s="4">
        <v>1580.3958</v>
      </c>
      <c r="Q75" s="4">
        <v>5847.1224000000002</v>
      </c>
      <c r="R75" s="4">
        <v>26214.317500000001</v>
      </c>
      <c r="S75" s="4">
        <v>300890.07040000003</v>
      </c>
      <c r="T75" s="4">
        <v>529.25409999999999</v>
      </c>
      <c r="U75" s="4">
        <v>24329.476699999999</v>
      </c>
      <c r="V75" s="4">
        <v>13797.427600000001</v>
      </c>
      <c r="W75" s="4">
        <v>10532.0491</v>
      </c>
      <c r="X75" s="4">
        <v>58867.683400000002</v>
      </c>
      <c r="Y75" s="4">
        <v>6244.1686</v>
      </c>
      <c r="Z75" s="4">
        <v>52623.514799999997</v>
      </c>
      <c r="AA75" s="4">
        <v>13719.4861</v>
      </c>
      <c r="AB75" s="4">
        <v>826.72640000000001</v>
      </c>
      <c r="AC75" s="4">
        <v>12892.7598</v>
      </c>
      <c r="AD75" s="4">
        <v>194266.32120000001</v>
      </c>
      <c r="AE75" s="4">
        <v>129281.9403</v>
      </c>
      <c r="AF75" s="4">
        <v>2105.0889000000002</v>
      </c>
      <c r="AG75" s="4">
        <v>62879.292000000001</v>
      </c>
      <c r="AH75" s="4">
        <v>9177.8489000000009</v>
      </c>
    </row>
    <row r="76" spans="1:34" x14ac:dyDescent="0.2">
      <c r="A76" s="3">
        <v>44166</v>
      </c>
      <c r="B76" s="4">
        <v>305900.66590000002</v>
      </c>
      <c r="C76" s="4">
        <v>1864.9269999999999</v>
      </c>
      <c r="D76" s="4">
        <v>1864.1396</v>
      </c>
      <c r="E76" s="4">
        <v>0.78739999999999999</v>
      </c>
      <c r="F76" s="5">
        <v>67430.45</v>
      </c>
      <c r="G76" s="4">
        <v>1103.7967000000001</v>
      </c>
      <c r="H76" s="4">
        <v>66326.653300000005</v>
      </c>
      <c r="I76" s="4">
        <v>-1037.6891000000001</v>
      </c>
      <c r="J76" s="5">
        <v>72994.102499999994</v>
      </c>
      <c r="K76" s="4">
        <v>3399.7129</v>
      </c>
      <c r="L76" s="4">
        <v>69594.389599999995</v>
      </c>
      <c r="M76" s="4">
        <v>158655.16740000001</v>
      </c>
      <c r="N76" s="4">
        <v>155755.40969999999</v>
      </c>
      <c r="O76" s="4">
        <v>1193.7012999999999</v>
      </c>
      <c r="P76" s="4">
        <v>1706.0564999999999</v>
      </c>
      <c r="Q76" s="4">
        <v>5993.7079999999996</v>
      </c>
      <c r="R76" s="4">
        <v>22123.6446</v>
      </c>
      <c r="S76" s="4">
        <v>283777.02120000002</v>
      </c>
      <c r="T76" s="4">
        <v>502.62529999999998</v>
      </c>
      <c r="U76" s="4">
        <v>19603.027699999999</v>
      </c>
      <c r="V76" s="4">
        <v>11851.450699999999</v>
      </c>
      <c r="W76" s="4">
        <v>7751.5770000000002</v>
      </c>
      <c r="X76" s="4">
        <v>53204.537799999998</v>
      </c>
      <c r="Y76" s="4">
        <v>7205.7181</v>
      </c>
      <c r="Z76" s="4">
        <v>45998.8197</v>
      </c>
      <c r="AA76" s="4">
        <v>12854.4377</v>
      </c>
      <c r="AB76" s="4">
        <v>860.02260000000001</v>
      </c>
      <c r="AC76" s="4">
        <v>11994.4151</v>
      </c>
      <c r="AD76" s="4">
        <v>187347.93280000001</v>
      </c>
      <c r="AE76" s="4">
        <v>121944.4549</v>
      </c>
      <c r="AF76" s="4">
        <v>2104.9742000000001</v>
      </c>
      <c r="AG76" s="4">
        <v>63298.503700000001</v>
      </c>
      <c r="AH76" s="4">
        <v>10264.459999999999</v>
      </c>
    </row>
    <row r="77" spans="1:34" x14ac:dyDescent="0.2">
      <c r="A77" s="3">
        <v>44256</v>
      </c>
      <c r="B77" s="4">
        <v>326330.92619999999</v>
      </c>
      <c r="C77" s="4">
        <v>1983.2674</v>
      </c>
      <c r="D77" s="4">
        <v>1978.0987</v>
      </c>
      <c r="E77" s="4">
        <v>5.1687000000000003</v>
      </c>
      <c r="F77" s="5">
        <v>69237.607300000003</v>
      </c>
      <c r="G77" s="4">
        <v>1499.0998</v>
      </c>
      <c r="H77" s="4">
        <v>67738.507500000007</v>
      </c>
      <c r="I77" s="4">
        <v>-628.03880000000004</v>
      </c>
      <c r="J77" s="5">
        <v>74267.987899999993</v>
      </c>
      <c r="K77" s="4">
        <v>4142.4735000000001</v>
      </c>
      <c r="L77" s="4">
        <v>70125.5144</v>
      </c>
      <c r="M77" s="4">
        <v>174217.64309999999</v>
      </c>
      <c r="N77" s="4">
        <v>171204.6728</v>
      </c>
      <c r="O77" s="4">
        <v>1193.3203000000001</v>
      </c>
      <c r="P77" s="4">
        <v>1819.6501000000001</v>
      </c>
      <c r="Q77" s="4">
        <v>7252.4593999999997</v>
      </c>
      <c r="R77" s="4">
        <v>25461.164400000001</v>
      </c>
      <c r="S77" s="4">
        <v>300869.76179999998</v>
      </c>
      <c r="T77" s="4">
        <v>496.0061</v>
      </c>
      <c r="U77" s="4">
        <v>19584.517800000001</v>
      </c>
      <c r="V77" s="4">
        <v>11405.2312</v>
      </c>
      <c r="W77" s="4">
        <v>8179.2866000000004</v>
      </c>
      <c r="X77" s="4">
        <v>56308.9859</v>
      </c>
      <c r="Y77" s="4">
        <v>8765.7924999999996</v>
      </c>
      <c r="Z77" s="4">
        <v>47543.193399999996</v>
      </c>
      <c r="AA77" s="4">
        <v>14149.2294</v>
      </c>
      <c r="AB77" s="4">
        <v>899.21680000000003</v>
      </c>
      <c r="AC77" s="4">
        <v>13250.0126</v>
      </c>
      <c r="AD77" s="4">
        <v>198882.93239999999</v>
      </c>
      <c r="AE77" s="4">
        <v>130975.22349999999</v>
      </c>
      <c r="AF77" s="4">
        <v>2332.8982999999998</v>
      </c>
      <c r="AG77" s="4">
        <v>65574.810599999997</v>
      </c>
      <c r="AH77" s="4">
        <v>11448.090099999999</v>
      </c>
    </row>
    <row r="78" spans="1:34" x14ac:dyDescent="0.2">
      <c r="A78" s="3">
        <v>44348</v>
      </c>
      <c r="B78" s="4">
        <v>329826.75069999998</v>
      </c>
      <c r="C78" s="4">
        <v>1978.7684999999999</v>
      </c>
      <c r="D78" s="4">
        <v>1974.0574999999999</v>
      </c>
      <c r="E78" s="4">
        <v>4.7110000000000003</v>
      </c>
      <c r="F78" s="5">
        <v>73648.888399999996</v>
      </c>
      <c r="G78" s="4">
        <v>867.63080000000002</v>
      </c>
      <c r="H78" s="4">
        <v>72781.257599999997</v>
      </c>
      <c r="I78" s="4">
        <v>-505.64729999999997</v>
      </c>
      <c r="J78" s="5">
        <v>73303.296700000006</v>
      </c>
      <c r="K78" s="4">
        <v>4355.5167000000001</v>
      </c>
      <c r="L78" s="4">
        <v>68947.779899999994</v>
      </c>
      <c r="M78" s="4">
        <v>173800.8076</v>
      </c>
      <c r="N78" s="4">
        <v>171109.63080000001</v>
      </c>
      <c r="O78" s="4">
        <v>1168.1882000000001</v>
      </c>
      <c r="P78" s="4">
        <v>1522.9885999999999</v>
      </c>
      <c r="Q78" s="4">
        <v>7600.6367</v>
      </c>
      <c r="R78" s="4">
        <v>18034.402999999998</v>
      </c>
      <c r="S78" s="4">
        <v>311792.34769999998</v>
      </c>
      <c r="T78" s="4">
        <v>439.45080000000002</v>
      </c>
      <c r="U78" s="4">
        <v>23717.957299999998</v>
      </c>
      <c r="V78" s="4">
        <v>13197.4756</v>
      </c>
      <c r="W78" s="4">
        <v>10520.4817</v>
      </c>
      <c r="X78" s="4">
        <v>56608.267399999997</v>
      </c>
      <c r="Y78" s="4">
        <v>7872.2458999999999</v>
      </c>
      <c r="Z78" s="4">
        <v>48736.021500000003</v>
      </c>
      <c r="AA78" s="4">
        <v>14300.9447</v>
      </c>
      <c r="AB78" s="4">
        <v>900.05160000000001</v>
      </c>
      <c r="AC78" s="4">
        <v>13400.893099999999</v>
      </c>
      <c r="AD78" s="4">
        <v>204004.75030000001</v>
      </c>
      <c r="AE78" s="4">
        <v>136093.4063</v>
      </c>
      <c r="AF78" s="4">
        <v>2107.2779999999998</v>
      </c>
      <c r="AG78" s="4">
        <v>65804.066000000006</v>
      </c>
      <c r="AH78" s="4">
        <v>12720.9771</v>
      </c>
    </row>
    <row r="79" spans="1:34" x14ac:dyDescent="0.2">
      <c r="A79" s="3">
        <v>44440</v>
      </c>
      <c r="B79" s="4">
        <v>370451.06310000003</v>
      </c>
      <c r="C79" s="4">
        <v>2226.2361000000001</v>
      </c>
      <c r="D79" s="4">
        <v>2221.4340000000002</v>
      </c>
      <c r="E79" s="4">
        <v>4.8021000000000003</v>
      </c>
      <c r="F79" s="5">
        <v>90741.170700000002</v>
      </c>
      <c r="G79" s="4">
        <v>1129.2868000000001</v>
      </c>
      <c r="H79" s="4">
        <v>89611.883900000001</v>
      </c>
      <c r="I79" s="4">
        <v>544.52719999999999</v>
      </c>
      <c r="J79" s="5">
        <v>83860.334499999997</v>
      </c>
      <c r="K79" s="4">
        <v>5472.1229000000003</v>
      </c>
      <c r="L79" s="4">
        <v>78388.211599999995</v>
      </c>
      <c r="M79" s="4">
        <v>183670.5514</v>
      </c>
      <c r="N79" s="4">
        <v>180439.7297</v>
      </c>
      <c r="O79" s="4">
        <v>1210.5534</v>
      </c>
      <c r="P79" s="4">
        <v>2020.2683</v>
      </c>
      <c r="Q79" s="4">
        <v>9408.2432000000008</v>
      </c>
      <c r="R79" s="4">
        <v>21677.700099999998</v>
      </c>
      <c r="S79" s="4">
        <v>348773.36300000001</v>
      </c>
      <c r="T79" s="4">
        <v>2531.2766999999999</v>
      </c>
      <c r="U79" s="4">
        <v>32442.007699999998</v>
      </c>
      <c r="V79" s="4">
        <v>15921.1409</v>
      </c>
      <c r="W79" s="4">
        <v>16520.8668</v>
      </c>
      <c r="X79" s="4">
        <v>61387.861199999999</v>
      </c>
      <c r="Y79" s="4">
        <v>8016.9669000000004</v>
      </c>
      <c r="Z79" s="4">
        <v>53370.8943</v>
      </c>
      <c r="AA79" s="4">
        <v>15990.6203</v>
      </c>
      <c r="AB79" s="4">
        <v>927.82640000000004</v>
      </c>
      <c r="AC79" s="4">
        <v>15062.793900000001</v>
      </c>
      <c r="AD79" s="4">
        <v>221857.49489999999</v>
      </c>
      <c r="AE79" s="4">
        <v>149737.22500000001</v>
      </c>
      <c r="AF79" s="4">
        <v>1982.691</v>
      </c>
      <c r="AG79" s="4">
        <v>70137.578899999993</v>
      </c>
      <c r="AH79" s="4">
        <v>14564.102199999999</v>
      </c>
    </row>
    <row r="80" spans="1:34" x14ac:dyDescent="0.2">
      <c r="A80" s="3">
        <v>44531</v>
      </c>
      <c r="B80" s="4">
        <v>388033.57890000002</v>
      </c>
      <c r="C80" s="4">
        <v>2307.8110999999999</v>
      </c>
      <c r="D80" s="4">
        <v>2304.1754000000001</v>
      </c>
      <c r="E80" s="4">
        <v>3.6356999999999999</v>
      </c>
      <c r="F80" s="5">
        <v>98261.852799999993</v>
      </c>
      <c r="G80" s="4">
        <v>1013.8022999999999</v>
      </c>
      <c r="H80" s="4">
        <v>97248.050499999998</v>
      </c>
      <c r="I80" s="4">
        <v>733.08230000000003</v>
      </c>
      <c r="J80" s="5">
        <v>88755.564100000003</v>
      </c>
      <c r="K80" s="4">
        <v>5027.0448999999999</v>
      </c>
      <c r="L80" s="4">
        <v>83728.519199999995</v>
      </c>
      <c r="M80" s="4">
        <v>187147.454</v>
      </c>
      <c r="N80" s="4">
        <v>183911.77059999999</v>
      </c>
      <c r="O80" s="4">
        <v>1141.5092999999999</v>
      </c>
      <c r="P80" s="4">
        <v>2094.1741000000002</v>
      </c>
      <c r="Q80" s="4">
        <v>10827.814399999999</v>
      </c>
      <c r="R80" s="4">
        <v>20969.175200000001</v>
      </c>
      <c r="S80" s="4">
        <v>367064.40370000002</v>
      </c>
      <c r="T80" s="4">
        <v>2990.1068</v>
      </c>
      <c r="U80" s="4">
        <v>26391.639899999998</v>
      </c>
      <c r="V80" s="4">
        <v>12977.3752</v>
      </c>
      <c r="W80" s="4">
        <v>13414.2647</v>
      </c>
      <c r="X80" s="4">
        <v>62365.0101</v>
      </c>
      <c r="Y80" s="4">
        <v>5644.4160000000002</v>
      </c>
      <c r="Z80" s="4">
        <v>56720.594100000002</v>
      </c>
      <c r="AA80" s="4">
        <v>17513.414499999999</v>
      </c>
      <c r="AB80" s="4">
        <v>936.25519999999995</v>
      </c>
      <c r="AC80" s="4">
        <v>16577.159299999999</v>
      </c>
      <c r="AD80" s="4">
        <v>240903.61619999999</v>
      </c>
      <c r="AE80" s="4">
        <v>165616.46230000001</v>
      </c>
      <c r="AF80" s="4">
        <v>2215.0466000000001</v>
      </c>
      <c r="AG80" s="4">
        <v>73072.107399999994</v>
      </c>
      <c r="AH80" s="4">
        <v>16900.6162</v>
      </c>
    </row>
    <row r="81" spans="1:34" x14ac:dyDescent="0.2">
      <c r="A81" s="3">
        <v>44621</v>
      </c>
      <c r="B81" s="4">
        <v>378033.3713</v>
      </c>
      <c r="C81" s="4">
        <v>3738.7527</v>
      </c>
      <c r="D81" s="4">
        <v>3736.8843000000002</v>
      </c>
      <c r="E81" s="4">
        <v>1.8684000000000001</v>
      </c>
      <c r="F81" s="5">
        <v>91618.121199999994</v>
      </c>
      <c r="G81" s="4">
        <v>1237.8028999999999</v>
      </c>
      <c r="H81" s="4">
        <v>90380.318299999999</v>
      </c>
      <c r="I81" s="4">
        <v>1393.489</v>
      </c>
      <c r="J81" s="5">
        <v>85741.523799999995</v>
      </c>
      <c r="K81" s="4">
        <v>4799.6741000000002</v>
      </c>
      <c r="L81" s="4">
        <v>80941.849700000006</v>
      </c>
      <c r="M81" s="4">
        <v>185850.55439999999</v>
      </c>
      <c r="N81" s="4">
        <v>182737.97029999999</v>
      </c>
      <c r="O81" s="4">
        <v>1080.6149</v>
      </c>
      <c r="P81" s="4">
        <v>2031.9692</v>
      </c>
      <c r="Q81" s="4">
        <v>9690.9300999999996</v>
      </c>
      <c r="R81" s="4">
        <v>37819.174200000001</v>
      </c>
      <c r="S81" s="4">
        <v>340214.19709999999</v>
      </c>
      <c r="T81" s="4">
        <v>2478.2806999999998</v>
      </c>
      <c r="U81" s="4">
        <v>23831.056</v>
      </c>
      <c r="V81" s="4">
        <v>13113.7076</v>
      </c>
      <c r="W81" s="4">
        <v>10717.348400000001</v>
      </c>
      <c r="X81" s="4">
        <v>60883.0213</v>
      </c>
      <c r="Y81" s="4">
        <v>6975.1549999999997</v>
      </c>
      <c r="Z81" s="4">
        <v>53907.866300000002</v>
      </c>
      <c r="AA81" s="4">
        <v>17241.730899999999</v>
      </c>
      <c r="AB81" s="4">
        <v>951.8646</v>
      </c>
      <c r="AC81" s="4">
        <v>16289.8662</v>
      </c>
      <c r="AD81" s="4">
        <v>220802.43229999999</v>
      </c>
      <c r="AE81" s="4">
        <v>161889.09099999999</v>
      </c>
      <c r="AF81" s="4">
        <v>1956.9652000000001</v>
      </c>
      <c r="AG81" s="4">
        <v>56956.376100000001</v>
      </c>
      <c r="AH81" s="4">
        <v>14977.675999999999</v>
      </c>
    </row>
    <row r="82" spans="1:34" x14ac:dyDescent="0.2">
      <c r="A82" s="3">
        <v>44713</v>
      </c>
      <c r="B82" s="4">
        <v>418876.3015</v>
      </c>
      <c r="C82" s="4">
        <v>3161.3184000000001</v>
      </c>
      <c r="D82" s="4">
        <v>3159.1885000000002</v>
      </c>
      <c r="E82" s="4">
        <v>2.1299000000000001</v>
      </c>
      <c r="F82" s="5">
        <v>94994.931299999997</v>
      </c>
      <c r="G82" s="4">
        <v>1648.2272</v>
      </c>
      <c r="H82" s="4">
        <v>93346.704100000003</v>
      </c>
      <c r="I82" s="4">
        <v>2065.1282999999999</v>
      </c>
      <c r="J82" s="5">
        <v>103441.9222</v>
      </c>
      <c r="K82" s="4">
        <v>8520.0301999999992</v>
      </c>
      <c r="L82" s="4">
        <v>94921.892000000007</v>
      </c>
      <c r="M82" s="4">
        <v>203332.75210000001</v>
      </c>
      <c r="N82" s="4">
        <v>200105.4032</v>
      </c>
      <c r="O82" s="4">
        <v>1158.3737000000001</v>
      </c>
      <c r="P82" s="4">
        <v>2068.9751999999999</v>
      </c>
      <c r="Q82" s="4">
        <v>11880.2492</v>
      </c>
      <c r="R82" s="4">
        <v>36414.614200000004</v>
      </c>
      <c r="S82" s="4">
        <v>382461.68729999999</v>
      </c>
      <c r="T82" s="4">
        <v>3030.9362000000001</v>
      </c>
      <c r="U82" s="4">
        <v>25393.984899999999</v>
      </c>
      <c r="V82" s="4">
        <v>13537.624900000001</v>
      </c>
      <c r="W82" s="4">
        <v>11856.3601</v>
      </c>
      <c r="X82" s="4">
        <v>72282.858699999997</v>
      </c>
      <c r="Y82" s="4">
        <v>10848.658600000001</v>
      </c>
      <c r="Z82" s="4">
        <v>61434.200100000002</v>
      </c>
      <c r="AA82" s="4">
        <v>20539.086299999999</v>
      </c>
      <c r="AB82" s="4">
        <v>1569.4063000000001</v>
      </c>
      <c r="AC82" s="4">
        <v>18969.68</v>
      </c>
      <c r="AD82" s="4">
        <v>243462.06340000001</v>
      </c>
      <c r="AE82" s="4">
        <v>185901.53640000001</v>
      </c>
      <c r="AF82" s="4">
        <v>2036.5895</v>
      </c>
      <c r="AG82" s="4">
        <v>55523.9375</v>
      </c>
      <c r="AH82" s="4">
        <v>17752.757799999999</v>
      </c>
    </row>
    <row r="83" spans="1:34" x14ac:dyDescent="0.2">
      <c r="A83" s="3">
        <v>44805</v>
      </c>
      <c r="B83" s="4">
        <v>435319.4216</v>
      </c>
      <c r="C83" s="4">
        <v>3752.5019000000002</v>
      </c>
      <c r="D83" s="4">
        <v>3745.8658</v>
      </c>
      <c r="E83" s="4">
        <v>6.6360999999999999</v>
      </c>
      <c r="F83" s="5">
        <v>91233.3128</v>
      </c>
      <c r="G83" s="4">
        <v>1117.9095</v>
      </c>
      <c r="H83" s="4">
        <v>90115.403200000001</v>
      </c>
      <c r="I83" s="4">
        <v>2793.7082999999998</v>
      </c>
      <c r="J83" s="5">
        <v>110317.95239999999</v>
      </c>
      <c r="K83" s="4">
        <v>9273.1661000000004</v>
      </c>
      <c r="L83" s="4">
        <v>101044.78630000001</v>
      </c>
      <c r="M83" s="4">
        <v>215119.00779999999</v>
      </c>
      <c r="N83" s="4">
        <v>211573.23389999999</v>
      </c>
      <c r="O83" s="4">
        <v>1174.0157999999999</v>
      </c>
      <c r="P83" s="4">
        <v>2371.7581</v>
      </c>
      <c r="Q83" s="4">
        <v>12102.9385</v>
      </c>
      <c r="R83" s="4">
        <v>51863.2575</v>
      </c>
      <c r="S83" s="4">
        <v>383456.16409999999</v>
      </c>
      <c r="T83" s="4">
        <v>3012.3112999999998</v>
      </c>
      <c r="U83" s="4">
        <v>25665.6315</v>
      </c>
      <c r="V83" s="4">
        <v>13024.286599999999</v>
      </c>
      <c r="W83" s="4">
        <v>12641.3449</v>
      </c>
      <c r="X83" s="4">
        <v>67044.493799999997</v>
      </c>
      <c r="Y83" s="4">
        <v>8899.4577000000008</v>
      </c>
      <c r="Z83" s="4">
        <v>58145.036099999998</v>
      </c>
      <c r="AA83" s="4">
        <v>22425.377</v>
      </c>
      <c r="AB83" s="4">
        <v>1726.7281</v>
      </c>
      <c r="AC83" s="4">
        <v>20698.6489</v>
      </c>
      <c r="AD83" s="4">
        <v>247344.15150000001</v>
      </c>
      <c r="AE83" s="4">
        <v>194454.06140000001</v>
      </c>
      <c r="AF83" s="4">
        <v>2027.3284000000001</v>
      </c>
      <c r="AG83" s="4">
        <v>50862.761700000003</v>
      </c>
      <c r="AH83" s="4">
        <v>17964.198899999999</v>
      </c>
    </row>
    <row r="84" spans="1:34" x14ac:dyDescent="0.2">
      <c r="A84" s="3">
        <v>44896</v>
      </c>
      <c r="B84" s="4">
        <v>405564.34909999999</v>
      </c>
      <c r="C84" s="4">
        <v>5902.9537</v>
      </c>
      <c r="D84" s="4">
        <v>5897.6875</v>
      </c>
      <c r="E84" s="4">
        <v>5.2662000000000004</v>
      </c>
      <c r="F84" s="5">
        <v>87112.152400000006</v>
      </c>
      <c r="G84" s="4">
        <v>1675.077</v>
      </c>
      <c r="H84" s="4">
        <v>85437.075400000002</v>
      </c>
      <c r="I84" s="4">
        <v>-190.72049999999999</v>
      </c>
      <c r="J84" s="5">
        <v>96400.593900000007</v>
      </c>
      <c r="K84" s="4">
        <v>5443.7622000000001</v>
      </c>
      <c r="L84" s="4">
        <v>90956.8318</v>
      </c>
      <c r="M84" s="4">
        <v>206756.3438</v>
      </c>
      <c r="N84" s="4">
        <v>203532.88709999999</v>
      </c>
      <c r="O84" s="4">
        <v>1130.7162000000001</v>
      </c>
      <c r="P84" s="4">
        <v>2092.7406000000001</v>
      </c>
      <c r="Q84" s="4">
        <v>9583.0257000000001</v>
      </c>
      <c r="R84" s="4">
        <v>53251.116999999998</v>
      </c>
      <c r="S84" s="4">
        <v>352313.23210000002</v>
      </c>
      <c r="T84" s="4">
        <v>2818.9823999999999</v>
      </c>
      <c r="U84" s="4">
        <v>22453.722000000002</v>
      </c>
      <c r="V84" s="4">
        <v>11797.962100000001</v>
      </c>
      <c r="W84" s="4">
        <v>10655.759899999999</v>
      </c>
      <c r="X84" s="4">
        <v>62135.477700000003</v>
      </c>
      <c r="Y84" s="4">
        <v>8473.0151000000005</v>
      </c>
      <c r="Z84" s="4">
        <v>53662.462599999999</v>
      </c>
      <c r="AA84" s="4">
        <v>20567.5317</v>
      </c>
      <c r="AB84" s="4">
        <v>1682.6968999999999</v>
      </c>
      <c r="AC84" s="4">
        <v>18884.834900000002</v>
      </c>
      <c r="AD84" s="4">
        <v>227322.0491</v>
      </c>
      <c r="AE84" s="4">
        <v>177180.821</v>
      </c>
      <c r="AF84" s="4">
        <v>1845.6783</v>
      </c>
      <c r="AG84" s="4">
        <v>48295.549800000001</v>
      </c>
      <c r="AH84" s="4">
        <v>17015.4692</v>
      </c>
    </row>
    <row r="85" spans="1:34" x14ac:dyDescent="0.2">
      <c r="A85" s="3">
        <v>44986</v>
      </c>
      <c r="B85" s="4">
        <v>383415.342</v>
      </c>
      <c r="C85" s="4">
        <v>5242.6893</v>
      </c>
      <c r="D85" s="4">
        <v>5238.2016000000003</v>
      </c>
      <c r="E85" s="4">
        <v>4.4877000000000002</v>
      </c>
      <c r="F85" s="5">
        <v>81697.552500000005</v>
      </c>
      <c r="G85" s="4">
        <v>2325.6541999999999</v>
      </c>
      <c r="H85" s="4">
        <v>79371.898300000001</v>
      </c>
      <c r="I85" s="4">
        <v>-657.01919999999996</v>
      </c>
      <c r="J85" s="5">
        <v>88061.610499999995</v>
      </c>
      <c r="K85" s="4">
        <v>5559.0734000000002</v>
      </c>
      <c r="L85" s="4">
        <v>82502.537100000001</v>
      </c>
      <c r="M85" s="4">
        <v>200806.62820000001</v>
      </c>
      <c r="N85" s="4">
        <v>197250.84150000001</v>
      </c>
      <c r="O85" s="4">
        <v>1181.4304999999999</v>
      </c>
      <c r="P85" s="4">
        <v>2374.3562000000002</v>
      </c>
      <c r="Q85" s="4">
        <v>8263.8806999999997</v>
      </c>
      <c r="R85" s="4">
        <v>48963.586199999998</v>
      </c>
      <c r="S85" s="4">
        <v>334451.75579999998</v>
      </c>
      <c r="T85" s="4">
        <v>2602.6489999999999</v>
      </c>
      <c r="U85" s="4">
        <v>23224.198799999998</v>
      </c>
      <c r="V85" s="4">
        <v>13158.408799999999</v>
      </c>
      <c r="W85" s="4">
        <v>10065.790000000001</v>
      </c>
      <c r="X85" s="4">
        <v>57553.624799999998</v>
      </c>
      <c r="Y85" s="4">
        <v>6420.9202999999998</v>
      </c>
      <c r="Z85" s="4">
        <v>51132.704400000002</v>
      </c>
      <c r="AA85" s="4">
        <v>18865.817299999999</v>
      </c>
      <c r="AB85" s="4">
        <v>1477.6202000000001</v>
      </c>
      <c r="AC85" s="4">
        <v>17388.197100000001</v>
      </c>
      <c r="AD85" s="4">
        <v>216600.5503</v>
      </c>
      <c r="AE85" s="4">
        <v>166932.31210000001</v>
      </c>
      <c r="AF85" s="4">
        <v>1823.3969999999999</v>
      </c>
      <c r="AG85" s="4">
        <v>47844.841200000003</v>
      </c>
      <c r="AH85" s="4">
        <v>15604.9156</v>
      </c>
    </row>
    <row r="86" spans="1:34" x14ac:dyDescent="0.2">
      <c r="A86" s="3">
        <v>45078</v>
      </c>
      <c r="B86" s="4">
        <v>394063.33779999998</v>
      </c>
      <c r="C86" s="4">
        <v>3358.4160000000002</v>
      </c>
      <c r="D86" s="4">
        <v>3354.8463999999999</v>
      </c>
      <c r="E86" s="4">
        <v>3.5695999999999999</v>
      </c>
      <c r="F86" s="5">
        <v>83429.183499999999</v>
      </c>
      <c r="G86" s="4">
        <v>1954.8653999999999</v>
      </c>
      <c r="H86" s="4">
        <v>81474.318100000004</v>
      </c>
      <c r="I86" s="4">
        <v>-235.19890000000001</v>
      </c>
      <c r="J86" s="5">
        <v>92365.998500000002</v>
      </c>
      <c r="K86" s="4">
        <v>5439.5099</v>
      </c>
      <c r="L86" s="4">
        <v>86926.488700000002</v>
      </c>
      <c r="M86" s="4">
        <v>207056.3131</v>
      </c>
      <c r="N86" s="4">
        <v>203579.63819999999</v>
      </c>
      <c r="O86" s="4">
        <v>1269.7768000000001</v>
      </c>
      <c r="P86" s="4">
        <v>2206.8980999999999</v>
      </c>
      <c r="Q86" s="4">
        <v>8088.6255000000001</v>
      </c>
      <c r="R86" s="4">
        <v>51630.210099999997</v>
      </c>
      <c r="S86" s="4">
        <v>342433.12770000001</v>
      </c>
      <c r="T86" s="4">
        <v>2696.723</v>
      </c>
      <c r="U86" s="4">
        <v>22548.206399999999</v>
      </c>
      <c r="V86" s="4">
        <v>11521.294</v>
      </c>
      <c r="W86" s="4">
        <v>11026.912399999999</v>
      </c>
      <c r="X86" s="4">
        <v>61105.894</v>
      </c>
      <c r="Y86" s="4">
        <v>8128.4177</v>
      </c>
      <c r="Z86" s="4">
        <v>52977.476300000002</v>
      </c>
      <c r="AA86" s="4">
        <v>19257.163100000002</v>
      </c>
      <c r="AB86" s="4">
        <v>1324.1398999999999</v>
      </c>
      <c r="AC86" s="4">
        <v>17933.0232</v>
      </c>
      <c r="AD86" s="4">
        <v>222924.1208</v>
      </c>
      <c r="AE86" s="4">
        <v>173888.8995</v>
      </c>
      <c r="AF86" s="4">
        <v>2302.8071</v>
      </c>
      <c r="AG86" s="4">
        <v>46732.414299999997</v>
      </c>
      <c r="AH86" s="4">
        <v>13901.020399999999</v>
      </c>
    </row>
    <row r="87" spans="1:34" x14ac:dyDescent="0.2">
      <c r="A87" s="3">
        <v>45170</v>
      </c>
      <c r="B87" s="4">
        <v>440534.56050000002</v>
      </c>
      <c r="C87" s="4">
        <v>3905.5639999999999</v>
      </c>
      <c r="D87" s="4">
        <v>3904.2622999999999</v>
      </c>
      <c r="E87" s="4">
        <v>1.3017000000000001</v>
      </c>
      <c r="F87" s="5">
        <v>93008.796199999997</v>
      </c>
      <c r="G87" s="4">
        <v>1921.0907999999999</v>
      </c>
      <c r="H87" s="4">
        <v>91087.705400000006</v>
      </c>
      <c r="I87" s="4">
        <v>1381.1890000000001</v>
      </c>
      <c r="J87" s="5">
        <v>106265.9844</v>
      </c>
      <c r="K87" s="4">
        <v>6128.5794999999998</v>
      </c>
      <c r="L87" s="4">
        <v>100137.40489999999</v>
      </c>
      <c r="M87" s="4">
        <v>226527.58489999999</v>
      </c>
      <c r="N87" s="4">
        <v>222565.59570000001</v>
      </c>
      <c r="O87" s="4">
        <v>1473.4865</v>
      </c>
      <c r="P87" s="4">
        <v>2488.5027</v>
      </c>
      <c r="Q87" s="4">
        <v>9445.4421000000002</v>
      </c>
      <c r="R87" s="4">
        <v>54997.443099999997</v>
      </c>
      <c r="S87" s="4">
        <v>385537.11749999999</v>
      </c>
      <c r="T87" s="4">
        <v>3022.8096999999998</v>
      </c>
      <c r="U87" s="4">
        <v>26248.0556</v>
      </c>
      <c r="V87" s="4">
        <v>14191.4625</v>
      </c>
      <c r="W87" s="4">
        <v>12056.5931</v>
      </c>
      <c r="X87" s="4">
        <v>70069.221399999995</v>
      </c>
      <c r="Y87" s="4">
        <v>8231.8884999999991</v>
      </c>
      <c r="Z87" s="4">
        <v>61837.332999999999</v>
      </c>
      <c r="AA87" s="4">
        <v>22164.855899999999</v>
      </c>
      <c r="AB87" s="4">
        <v>1688.1865</v>
      </c>
      <c r="AC87" s="4">
        <v>20476.669399999999</v>
      </c>
      <c r="AD87" s="4">
        <v>248668.82250000001</v>
      </c>
      <c r="AE87" s="4">
        <v>196025.1213</v>
      </c>
      <c r="AF87" s="4">
        <v>2525.0563000000002</v>
      </c>
      <c r="AG87" s="4">
        <v>50118.644800000002</v>
      </c>
      <c r="AH87" s="4">
        <v>15363.352500000001</v>
      </c>
    </row>
    <row r="88" spans="1:34" x14ac:dyDescent="0.2">
      <c r="A88" s="3">
        <v>45261</v>
      </c>
      <c r="B88" s="4">
        <v>438678.1814</v>
      </c>
      <c r="C88" s="4">
        <v>2811.0486000000001</v>
      </c>
      <c r="D88" s="4">
        <v>2807.2845000000002</v>
      </c>
      <c r="E88" s="4">
        <v>3.7641</v>
      </c>
      <c r="F88" s="5">
        <v>96774.517000000007</v>
      </c>
      <c r="G88" s="4">
        <v>1449.3240000000001</v>
      </c>
      <c r="H88" s="4">
        <v>95325.192999999999</v>
      </c>
      <c r="I88" s="4">
        <v>-795.15729999999996</v>
      </c>
      <c r="J88" s="5">
        <v>107255.9163</v>
      </c>
      <c r="K88" s="4">
        <v>6692.9111999999996</v>
      </c>
      <c r="L88" s="4">
        <v>100563.00509999999</v>
      </c>
      <c r="M88" s="4">
        <v>223903.47089999999</v>
      </c>
      <c r="N88" s="4">
        <v>219900.94349999999</v>
      </c>
      <c r="O88" s="4">
        <v>1527.3841</v>
      </c>
      <c r="P88" s="4">
        <v>2475.1433000000002</v>
      </c>
      <c r="Q88" s="4">
        <v>8728.3858999999993</v>
      </c>
      <c r="R88" s="4">
        <v>55664.671999999999</v>
      </c>
      <c r="S88" s="4">
        <v>383013.50939999998</v>
      </c>
      <c r="T88" s="4">
        <v>2980.2642999999998</v>
      </c>
      <c r="U88" s="4">
        <v>26305.907200000001</v>
      </c>
      <c r="V88" s="4">
        <v>13149.1718</v>
      </c>
      <c r="W88" s="4">
        <v>13156.7354</v>
      </c>
      <c r="X88" s="4">
        <v>69187.864799999996</v>
      </c>
      <c r="Y88" s="4">
        <v>6712.1868999999997</v>
      </c>
      <c r="Z88" s="4">
        <v>62475.677799999998</v>
      </c>
      <c r="AA88" s="4">
        <v>21987.738499999999</v>
      </c>
      <c r="AB88" s="4">
        <v>1829.0887</v>
      </c>
      <c r="AC88" s="4">
        <v>20158.649799999999</v>
      </c>
      <c r="AD88" s="4">
        <v>247865.37669999999</v>
      </c>
      <c r="AE88" s="4">
        <v>194564.93539999999</v>
      </c>
      <c r="AF88" s="4">
        <v>2573.9812000000002</v>
      </c>
      <c r="AG88" s="4">
        <v>50726.46</v>
      </c>
      <c r="AH88" s="4">
        <v>14686.357900000001</v>
      </c>
    </row>
    <row r="89" spans="1:34" x14ac:dyDescent="0.2">
      <c r="A89" s="3">
        <v>45352</v>
      </c>
      <c r="B89" s="4">
        <v>482646.82120000001</v>
      </c>
      <c r="C89" s="4">
        <v>2972.4558999999999</v>
      </c>
      <c r="D89" s="4">
        <v>2968.2195999999999</v>
      </c>
      <c r="E89" s="4">
        <v>4.2363999999999997</v>
      </c>
      <c r="F89" s="5">
        <v>107493.75999999999</v>
      </c>
      <c r="G89" s="4">
        <v>896.88149999999996</v>
      </c>
      <c r="H89" s="4">
        <v>106596.87850000001</v>
      </c>
      <c r="I89" s="4">
        <v>632.98559999999998</v>
      </c>
      <c r="J89" s="5">
        <v>118860.6201</v>
      </c>
      <c r="K89" s="4">
        <v>6632.1436999999996</v>
      </c>
      <c r="L89" s="4">
        <v>112228.47629999999</v>
      </c>
      <c r="M89" s="4">
        <v>243258.99239999999</v>
      </c>
      <c r="N89" s="4">
        <v>238956.56820000001</v>
      </c>
      <c r="O89" s="4">
        <v>1710.7508</v>
      </c>
      <c r="P89" s="4">
        <v>2591.6734999999999</v>
      </c>
      <c r="Q89" s="4">
        <v>9428.0072</v>
      </c>
      <c r="R89" s="4">
        <v>50193.2736</v>
      </c>
      <c r="S89" s="4">
        <v>432453.54759999999</v>
      </c>
      <c r="T89" s="4">
        <v>3386.5381000000002</v>
      </c>
      <c r="U89" s="4">
        <v>30773.668900000001</v>
      </c>
      <c r="V89" s="4">
        <v>16200.839599999999</v>
      </c>
      <c r="W89" s="4">
        <v>14572.829299999999</v>
      </c>
      <c r="X89" s="4">
        <v>74207.2503</v>
      </c>
      <c r="Y89" s="4">
        <v>6073.1722</v>
      </c>
      <c r="Z89" s="4">
        <v>68134.078099999999</v>
      </c>
      <c r="AA89" s="4">
        <v>24833.306400000001</v>
      </c>
      <c r="AB89" s="4">
        <v>2095.6839</v>
      </c>
      <c r="AC89" s="4">
        <v>22737.6224</v>
      </c>
      <c r="AD89" s="4">
        <v>281637.08779999998</v>
      </c>
      <c r="AE89" s="4">
        <v>221141.31460000001</v>
      </c>
      <c r="AF89" s="4">
        <v>3083.6709999999998</v>
      </c>
      <c r="AG89" s="4">
        <v>57412.102200000001</v>
      </c>
      <c r="AH89" s="4">
        <v>17615.696100000001</v>
      </c>
    </row>
    <row r="90" spans="1:34" x14ac:dyDescent="0.2">
      <c r="A90" s="3">
        <v>45444</v>
      </c>
      <c r="B90" s="4">
        <v>470543.80570000003</v>
      </c>
      <c r="C90" s="4">
        <v>2770.1613000000002</v>
      </c>
      <c r="D90" s="4">
        <v>2766.7611000000002</v>
      </c>
      <c r="E90" s="4">
        <v>3.4001999999999999</v>
      </c>
      <c r="F90" s="5">
        <v>104028.2467</v>
      </c>
      <c r="G90" s="4">
        <v>1065.3956000000001</v>
      </c>
      <c r="H90" s="4">
        <v>102962.8511</v>
      </c>
      <c r="I90" s="4">
        <v>-360.84750000000003</v>
      </c>
      <c r="J90" s="5">
        <v>116922.25659999999</v>
      </c>
      <c r="K90" s="4">
        <v>6610.8549999999996</v>
      </c>
      <c r="L90" s="4">
        <v>110311.4016</v>
      </c>
      <c r="M90" s="4">
        <v>238171.98130000001</v>
      </c>
      <c r="N90" s="4">
        <v>233455.9215</v>
      </c>
      <c r="O90" s="4">
        <v>1849.3208</v>
      </c>
      <c r="P90" s="4">
        <v>2866.7390999999998</v>
      </c>
      <c r="Q90" s="4">
        <v>9012.0072</v>
      </c>
      <c r="R90" s="4">
        <v>53303.928899999999</v>
      </c>
      <c r="S90" s="4">
        <v>417239.87680000003</v>
      </c>
      <c r="T90" s="4">
        <v>3303.3389000000002</v>
      </c>
      <c r="U90" s="4">
        <v>28632.6037</v>
      </c>
      <c r="V90" s="4">
        <v>14813.6741</v>
      </c>
      <c r="W90" s="4">
        <v>13818.929700000001</v>
      </c>
      <c r="X90" s="4">
        <v>70606.1777</v>
      </c>
      <c r="Y90" s="4">
        <v>7044.5832</v>
      </c>
      <c r="Z90" s="4">
        <v>63561.594599999997</v>
      </c>
      <c r="AA90" s="4">
        <v>23697.915000000001</v>
      </c>
      <c r="AB90" s="4">
        <v>1894.2442000000001</v>
      </c>
      <c r="AC90" s="4">
        <v>21803.6708</v>
      </c>
      <c r="AD90" s="4">
        <v>274253.76329999999</v>
      </c>
      <c r="AE90" s="4">
        <v>214918.5154</v>
      </c>
      <c r="AF90" s="4">
        <v>2936.2458000000001</v>
      </c>
      <c r="AG90" s="4">
        <v>56399.002200000003</v>
      </c>
      <c r="AH90" s="4">
        <v>16746.078099999999</v>
      </c>
    </row>
    <row r="91" spans="1:34" x14ac:dyDescent="0.2">
      <c r="A91" s="3">
        <v>45536</v>
      </c>
      <c r="B91" s="4">
        <v>457053.64630000002</v>
      </c>
      <c r="C91" s="4">
        <v>2383.0916999999999</v>
      </c>
      <c r="D91" s="4">
        <v>2380.5221000000001</v>
      </c>
      <c r="E91" s="4">
        <v>2.5695999999999999</v>
      </c>
      <c r="F91" s="5">
        <v>105733.0154</v>
      </c>
      <c r="G91" s="4">
        <v>804.24530000000004</v>
      </c>
      <c r="H91" s="4">
        <v>104928.7702</v>
      </c>
      <c r="I91" s="4">
        <v>-3258.21</v>
      </c>
      <c r="J91" s="5">
        <v>111789.2709</v>
      </c>
      <c r="K91" s="4">
        <v>6326.9749000000002</v>
      </c>
      <c r="L91" s="4">
        <v>105462.296</v>
      </c>
      <c r="M91" s="4">
        <v>231475.01740000001</v>
      </c>
      <c r="N91" s="4">
        <v>226530.77369999999</v>
      </c>
      <c r="O91" s="4">
        <v>1898.0487000000001</v>
      </c>
      <c r="P91" s="4">
        <v>3046.1950000000002</v>
      </c>
      <c r="Q91" s="4">
        <v>8931.4609999999993</v>
      </c>
      <c r="R91" s="4">
        <v>54021.107400000001</v>
      </c>
      <c r="S91" s="4">
        <v>403032.53889999999</v>
      </c>
      <c r="T91" s="4">
        <v>3164.5915</v>
      </c>
      <c r="U91" s="4">
        <v>27764.752899999999</v>
      </c>
      <c r="V91" s="4">
        <v>13536.8523</v>
      </c>
      <c r="W91" s="4">
        <v>14227.900600000001</v>
      </c>
      <c r="X91" s="4">
        <v>68463.929300000003</v>
      </c>
      <c r="Y91" s="4">
        <v>6734.8116</v>
      </c>
      <c r="Z91" s="4">
        <v>61729.117700000003</v>
      </c>
      <c r="AA91" s="4">
        <v>22509.7899</v>
      </c>
      <c r="AB91" s="4">
        <v>1885.6946</v>
      </c>
      <c r="AC91" s="4">
        <v>20624.095300000001</v>
      </c>
      <c r="AD91" s="4">
        <v>265270.07059999998</v>
      </c>
      <c r="AE91" s="4">
        <v>205178.24249999999</v>
      </c>
      <c r="AF91" s="4">
        <v>2952.1208999999999</v>
      </c>
      <c r="AG91" s="4">
        <v>57139.707300000002</v>
      </c>
      <c r="AH91" s="4">
        <v>15859.404699999999</v>
      </c>
    </row>
    <row r="92" spans="1:34" x14ac:dyDescent="0.2">
      <c r="A92" s="3">
        <v>45627</v>
      </c>
      <c r="B92" s="4">
        <v>496850.21389999997</v>
      </c>
      <c r="C92" s="4">
        <v>2282.3667</v>
      </c>
      <c r="D92" s="4">
        <v>2280.7258999999999</v>
      </c>
      <c r="E92" s="4">
        <v>1.6408</v>
      </c>
      <c r="F92" s="5">
        <v>110565.3217</v>
      </c>
      <c r="G92" s="4">
        <v>784.51930000000004</v>
      </c>
      <c r="H92" s="4">
        <v>109780.8024</v>
      </c>
      <c r="I92" s="4">
        <v>2028.8717999999999</v>
      </c>
      <c r="J92" s="5">
        <v>119356.4</v>
      </c>
      <c r="K92" s="4">
        <v>7313.1274000000003</v>
      </c>
      <c r="L92" s="4">
        <v>112043.2727</v>
      </c>
      <c r="M92" s="4">
        <v>251786.24780000001</v>
      </c>
      <c r="N92" s="4">
        <v>246789.36120000001</v>
      </c>
      <c r="O92" s="4">
        <v>1914.6144999999999</v>
      </c>
      <c r="P92" s="4">
        <v>3082.2721000000001</v>
      </c>
      <c r="Q92" s="4">
        <v>10831.005999999999</v>
      </c>
      <c r="R92" s="4">
        <v>56178.342799999999</v>
      </c>
      <c r="S92" s="4">
        <v>440671.87109999999</v>
      </c>
      <c r="T92" s="4">
        <v>3406.4009000000001</v>
      </c>
      <c r="U92" s="4">
        <v>28668.265100000001</v>
      </c>
      <c r="V92" s="4">
        <v>13105.5779</v>
      </c>
      <c r="W92" s="4">
        <v>15562.6872</v>
      </c>
      <c r="X92" s="4">
        <v>73066.0677</v>
      </c>
      <c r="Y92" s="4">
        <v>6986.5603000000001</v>
      </c>
      <c r="Z92" s="4">
        <v>66079.507400000002</v>
      </c>
      <c r="AA92" s="4">
        <v>25347.361099999998</v>
      </c>
      <c r="AB92" s="4">
        <v>2189.5174000000002</v>
      </c>
      <c r="AC92" s="4">
        <v>23157.843799999999</v>
      </c>
      <c r="AD92" s="4">
        <v>291556.69620000001</v>
      </c>
      <c r="AE92" s="4">
        <v>226832.46030000001</v>
      </c>
      <c r="AF92" s="4">
        <v>3247.7123000000001</v>
      </c>
      <c r="AG92" s="4">
        <v>61476.5236</v>
      </c>
      <c r="AH92" s="4">
        <v>18627.080000000002</v>
      </c>
    </row>
    <row r="93" spans="1:34" x14ac:dyDescent="0.2">
      <c r="A93" s="3">
        <v>45717</v>
      </c>
      <c r="B93" s="4">
        <v>490889.29080000002</v>
      </c>
      <c r="C93" s="4">
        <v>2355.4409000000001</v>
      </c>
      <c r="D93" s="4">
        <v>2354.1237000000001</v>
      </c>
      <c r="E93" s="4">
        <v>1.3172999999999999</v>
      </c>
      <c r="F93" s="5">
        <v>111435.3563</v>
      </c>
      <c r="G93" s="4">
        <v>1480.0588</v>
      </c>
      <c r="H93" s="4">
        <v>109955.29760000001</v>
      </c>
      <c r="I93" s="4">
        <v>-515.33920000000001</v>
      </c>
      <c r="J93" s="5">
        <v>114494.0871</v>
      </c>
      <c r="K93" s="4">
        <v>9075.8502000000008</v>
      </c>
      <c r="L93" s="4">
        <v>105418.2369</v>
      </c>
      <c r="M93" s="4">
        <v>253031.80710000001</v>
      </c>
      <c r="N93" s="4">
        <v>247575.33689999999</v>
      </c>
      <c r="O93" s="4">
        <v>1925.4237000000001</v>
      </c>
      <c r="P93" s="4">
        <v>3531.0464000000002</v>
      </c>
      <c r="Q93" s="4">
        <v>10087.938700000001</v>
      </c>
      <c r="R93" s="4">
        <v>61593.440900000001</v>
      </c>
      <c r="S93" s="4">
        <v>429295.84989999997</v>
      </c>
      <c r="T93" s="4">
        <v>3302.5450999999998</v>
      </c>
      <c r="U93" s="4">
        <v>27713.980800000001</v>
      </c>
      <c r="V93" s="4">
        <v>13331.9568</v>
      </c>
      <c r="W93" s="4">
        <v>14382.023999999999</v>
      </c>
      <c r="X93" s="4">
        <v>70656.959000000003</v>
      </c>
      <c r="Y93" s="4">
        <v>6639.8819999999996</v>
      </c>
      <c r="Z93" s="4">
        <v>64017.076999999997</v>
      </c>
      <c r="AA93" s="4">
        <v>24157.472399999999</v>
      </c>
      <c r="AB93" s="4">
        <v>2025.5431000000001</v>
      </c>
      <c r="AC93" s="4">
        <v>22131.9293</v>
      </c>
      <c r="AD93" s="4">
        <v>285172.34940000001</v>
      </c>
      <c r="AE93" s="4">
        <v>220957.19440000001</v>
      </c>
      <c r="AF93" s="4">
        <v>3058.9751000000001</v>
      </c>
      <c r="AG93" s="4">
        <v>61156.18</v>
      </c>
      <c r="AH93" s="4">
        <v>18292.5432</v>
      </c>
    </row>
    <row r="94" spans="1:34" x14ac:dyDescent="0.2">
      <c r="A94" s="3">
        <v>45809</v>
      </c>
      <c r="B94" s="4">
        <v>499184.53509999998</v>
      </c>
      <c r="C94" s="4">
        <v>3265.6415000000002</v>
      </c>
      <c r="D94" s="4">
        <v>3260.8606</v>
      </c>
      <c r="E94" s="4">
        <v>4.7808999999999999</v>
      </c>
      <c r="F94" s="5">
        <v>113934.62579999999</v>
      </c>
      <c r="G94" s="4">
        <v>2152.9290000000001</v>
      </c>
      <c r="H94" s="4">
        <v>111781.69680000001</v>
      </c>
      <c r="I94" s="4">
        <v>-1974.6141</v>
      </c>
      <c r="J94" s="5">
        <v>114918.05650000001</v>
      </c>
      <c r="K94" s="4">
        <v>10157.245999999999</v>
      </c>
      <c r="L94" s="4">
        <v>104760.8106</v>
      </c>
      <c r="M94" s="4">
        <v>258376.5563</v>
      </c>
      <c r="N94" s="4">
        <v>252762.5202</v>
      </c>
      <c r="O94" s="4">
        <v>2042.8253999999999</v>
      </c>
      <c r="P94" s="4">
        <v>3571.2107000000001</v>
      </c>
      <c r="Q94" s="4">
        <v>10664.269200000001</v>
      </c>
      <c r="R94" s="4">
        <v>60136.75</v>
      </c>
      <c r="S94" s="4">
        <v>439047.78519999998</v>
      </c>
      <c r="T94" s="4">
        <v>3379.8119999999999</v>
      </c>
      <c r="U94" s="4">
        <v>27834.423500000001</v>
      </c>
      <c r="V94" s="4">
        <v>12665.696400000001</v>
      </c>
      <c r="W94" s="4">
        <v>15168.7271</v>
      </c>
      <c r="X94" s="4">
        <v>72802.860499999995</v>
      </c>
      <c r="Y94" s="4">
        <v>6225.8226000000004</v>
      </c>
      <c r="Z94" s="4">
        <v>66577.037899999996</v>
      </c>
      <c r="AA94" s="4">
        <v>24904.616000000002</v>
      </c>
      <c r="AB94" s="4">
        <v>2679.1158999999998</v>
      </c>
      <c r="AC94" s="4">
        <v>22225.500100000001</v>
      </c>
      <c r="AD94" s="4">
        <v>292639.37109999999</v>
      </c>
      <c r="AE94" s="4">
        <v>224423.8995</v>
      </c>
      <c r="AF94" s="4">
        <v>3289.2368999999999</v>
      </c>
      <c r="AG94" s="4">
        <v>64926.234700000001</v>
      </c>
      <c r="AH94" s="4">
        <v>17486.702099999999</v>
      </c>
    </row>
    <row r="95" spans="1:34" x14ac:dyDescent="0.2">
      <c r="A95" s="3">
        <v>45901</v>
      </c>
      <c r="B95" s="4">
        <v>524977.7977</v>
      </c>
      <c r="C95" s="4">
        <v>3139.9457000000002</v>
      </c>
      <c r="D95" s="4">
        <v>3136.2031000000002</v>
      </c>
      <c r="E95" s="4">
        <v>3.7425999999999999</v>
      </c>
      <c r="F95" s="5">
        <v>122813.0239</v>
      </c>
      <c r="G95" s="4">
        <v>2144.7763</v>
      </c>
      <c r="H95" s="4">
        <v>120668.2476</v>
      </c>
      <c r="I95" s="4">
        <v>-2619.9304000000002</v>
      </c>
      <c r="J95" s="5">
        <v>121412.70510000001</v>
      </c>
      <c r="K95" s="4">
        <v>11627.479300000001</v>
      </c>
      <c r="L95" s="4">
        <v>109785.2258</v>
      </c>
      <c r="M95" s="4">
        <v>268632.32949999999</v>
      </c>
      <c r="N95" s="4">
        <v>262500.4767</v>
      </c>
      <c r="O95" s="4">
        <v>1916.2791</v>
      </c>
      <c r="P95" s="4">
        <v>4215.5738000000001</v>
      </c>
      <c r="Q95" s="4">
        <v>11599.7238</v>
      </c>
      <c r="R95" s="4">
        <v>61439.204100000003</v>
      </c>
      <c r="S95" s="4">
        <v>463538.59360000002</v>
      </c>
      <c r="T95" s="4">
        <v>3422.2026999999998</v>
      </c>
      <c r="U95" s="4">
        <v>27690.830699999999</v>
      </c>
      <c r="V95" s="4">
        <v>12087.5558</v>
      </c>
      <c r="W95" s="4">
        <v>15603.275</v>
      </c>
      <c r="X95" s="4">
        <v>74371.293000000005</v>
      </c>
      <c r="Y95" s="4">
        <v>5549.9922999999999</v>
      </c>
      <c r="Z95" s="4">
        <v>68821.300700000007</v>
      </c>
      <c r="AA95" s="4">
        <v>25340.537899999999</v>
      </c>
      <c r="AB95" s="4">
        <v>2495.1286</v>
      </c>
      <c r="AC95" s="4">
        <v>22845.409299999999</v>
      </c>
      <c r="AD95" s="4">
        <v>314854.18199999997</v>
      </c>
      <c r="AE95" s="4">
        <v>236858.69469999999</v>
      </c>
      <c r="AF95" s="4">
        <v>3887.8903</v>
      </c>
      <c r="AG95" s="4">
        <v>74107.596900000004</v>
      </c>
      <c r="AH95" s="4">
        <v>17859.547399999999</v>
      </c>
    </row>
  </sheetData>
  <mergeCells count="2">
    <mergeCell ref="A1:AH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Bancos</vt:lpstr>
      <vt:lpstr>FP</vt:lpstr>
      <vt:lpstr>Seguros</vt:lpstr>
      <vt:lpstr>FMM</vt:lpstr>
      <vt:lpstr>FNM</vt:lpstr>
      <vt:lpstr>Otros</vt:lpstr>
      <vt:lpstr>BC</vt:lpstr>
      <vt:lpstr>Gobierno_General</vt:lpstr>
      <vt:lpstr>Empresas_No_Financieras</vt:lpstr>
      <vt:lpstr>Hogares</vt:lpstr>
      <vt:lpstr>Resto_Mundo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Hafid González Orellana</dc:creator>
  <cp:lastModifiedBy>Carlos Hafid González Orellana</cp:lastModifiedBy>
  <dcterms:created xsi:type="dcterms:W3CDTF">2026-02-28T13:25:22Z</dcterms:created>
  <dcterms:modified xsi:type="dcterms:W3CDTF">2026-04-29T00:16:55Z</dcterms:modified>
</cp:coreProperties>
</file>